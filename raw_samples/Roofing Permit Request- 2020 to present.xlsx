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nningContractor\Desktop\"/>
    </mc:Choice>
  </mc:AlternateContent>
  <xr:revisionPtr revIDLastSave="0" documentId="13_ncr:1_{838B4154-0003-402C-B135-73608E80E069}" xr6:coauthVersionLast="47" xr6:coauthVersionMax="47" xr10:uidLastSave="{00000000-0000-0000-0000-000000000000}"/>
  <bookViews>
    <workbookView xWindow="-108" yWindow="-108" windowWidth="23256" windowHeight="13896" activeTab="6" xr2:uid="{F54F2F85-4AEE-4348-966A-A279E2A12408}"/>
  </bookViews>
  <sheets>
    <sheet name="2020" sheetId="1" r:id="rId1"/>
    <sheet name="2021" sheetId="2" r:id="rId2"/>
    <sheet name="2022" sheetId="3" r:id="rId3"/>
    <sheet name="2023" sheetId="4" r:id="rId4"/>
    <sheet name="2024" sheetId="5" r:id="rId5"/>
    <sheet name="2025" sheetId="6" r:id="rId6"/>
    <sheet name="202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5" i="6" l="1"/>
  <c r="N14" i="6"/>
  <c r="N13" i="6"/>
  <c r="N12" i="6"/>
  <c r="N11" i="6"/>
  <c r="N10" i="6"/>
  <c r="N9" i="6"/>
  <c r="N8" i="6"/>
  <c r="N7" i="6"/>
  <c r="N6" i="6"/>
  <c r="N5" i="6"/>
  <c r="N4" i="6"/>
  <c r="N3" i="6"/>
  <c r="N2" i="6"/>
  <c r="L13" i="5" l="1"/>
  <c r="L17" i="5"/>
  <c r="L16" i="5"/>
  <c r="L15" i="5"/>
  <c r="L14" i="5"/>
  <c r="L12" i="5"/>
  <c r="L11" i="5"/>
  <c r="L10" i="5"/>
  <c r="L9" i="5"/>
  <c r="L8" i="5"/>
  <c r="L7" i="5"/>
  <c r="L6" i="5"/>
  <c r="L5" i="5"/>
  <c r="L4" i="5"/>
  <c r="L3" i="5"/>
  <c r="L2" i="5"/>
  <c r="L15" i="4" l="1"/>
  <c r="Q15" i="4" s="1"/>
  <c r="L14" i="4"/>
  <c r="L13" i="4"/>
  <c r="L12" i="4"/>
  <c r="L11" i="4"/>
  <c r="L10" i="4"/>
  <c r="L9" i="4"/>
  <c r="L8" i="4"/>
  <c r="L7" i="4"/>
  <c r="L6" i="4"/>
  <c r="L5" i="4"/>
  <c r="L4" i="4"/>
  <c r="L3" i="4"/>
  <c r="L17" i="3" l="1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J67" i="2" l="1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3" i="1" l="1"/>
  <c r="J4" i="1"/>
  <c r="J5" i="1"/>
  <c r="J6" i="1"/>
  <c r="J7" i="1"/>
  <c r="J12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1" i="1"/>
  <c r="J10" i="1"/>
  <c r="J9" i="1"/>
  <c r="J8" i="1"/>
  <c r="J33" i="1"/>
  <c r="J32" i="1"/>
  <c r="J31" i="1"/>
  <c r="J30" i="1"/>
  <c r="J29" i="1"/>
</calcChain>
</file>

<file path=xl/sharedStrings.xml><?xml version="1.0" encoding="utf-8"?>
<sst xmlns="http://schemas.openxmlformats.org/spreadsheetml/2006/main" count="693" uniqueCount="535">
  <si>
    <t>PERMIT</t>
  </si>
  <si>
    <t>COST</t>
  </si>
  <si>
    <t>PLAN</t>
  </si>
  <si>
    <t>ADMIN</t>
  </si>
  <si>
    <t>NO.</t>
  </si>
  <si>
    <t>DATE</t>
  </si>
  <si>
    <t>CONTRACTOR'S NAME</t>
  </si>
  <si>
    <t>LOCATION</t>
  </si>
  <si>
    <t>ESTIMATE</t>
  </si>
  <si>
    <t>FEE</t>
  </si>
  <si>
    <t>CHECK</t>
  </si>
  <si>
    <t>SURCHARGE</t>
  </si>
  <si>
    <t>TOTAL</t>
  </si>
  <si>
    <t>2020-85</t>
  </si>
  <si>
    <t xml:space="preserve">Mayday Restoration </t>
  </si>
  <si>
    <t>670 Glencoe Rd</t>
  </si>
  <si>
    <t>2020-86</t>
  </si>
  <si>
    <t>Incline Exteriors</t>
  </si>
  <si>
    <t>231 Monroe Ave</t>
  </si>
  <si>
    <t>2020-87</t>
  </si>
  <si>
    <t>Hail Pro LLC</t>
  </si>
  <si>
    <t>261 Morse Ave</t>
  </si>
  <si>
    <t>2020-88</t>
  </si>
  <si>
    <t>Scherer Brothers</t>
  </si>
  <si>
    <t>692 Glencoe Rd</t>
  </si>
  <si>
    <t>2020-89</t>
  </si>
  <si>
    <t>Kevin Nash</t>
  </si>
  <si>
    <t>519 Wheeler Dr</t>
  </si>
  <si>
    <t>2020-70</t>
  </si>
  <si>
    <t>Kevin Nash Miller Design</t>
  </si>
  <si>
    <t>539 Mill St</t>
  </si>
  <si>
    <t>2020-71</t>
  </si>
  <si>
    <t>600 Lyman Pl</t>
  </si>
  <si>
    <t>2020-72</t>
  </si>
  <si>
    <t>611 Lyman Pl</t>
  </si>
  <si>
    <t>2020-73</t>
  </si>
  <si>
    <t>532 Wheeler Dr</t>
  </si>
  <si>
    <t>2020-74</t>
  </si>
  <si>
    <t>601 Lyman Pl</t>
  </si>
  <si>
    <t>2020-77</t>
  </si>
  <si>
    <t>StormPro Exteriors</t>
  </si>
  <si>
    <t>615 Glencoe Rd</t>
  </si>
  <si>
    <t>2020-79</t>
  </si>
  <si>
    <t>Gates General Contractors</t>
  </si>
  <si>
    <t>515 Wheeler Dr</t>
  </si>
  <si>
    <t>2020-81</t>
  </si>
  <si>
    <t>Minnesota Valley Roofing</t>
  </si>
  <si>
    <t>765 Grant St</t>
  </si>
  <si>
    <t>2020-83</t>
  </si>
  <si>
    <t>Good News Construction</t>
  </si>
  <si>
    <t>2020-84</t>
  </si>
  <si>
    <t>Pro-Tech Exteriors LLC</t>
  </si>
  <si>
    <t>897 Third Ave</t>
  </si>
  <si>
    <t>2020-58</t>
  </si>
  <si>
    <t>United Exteriors</t>
  </si>
  <si>
    <t>400 Mill St</t>
  </si>
  <si>
    <t>2020-60</t>
  </si>
  <si>
    <t>401 Mill St</t>
  </si>
  <si>
    <t>2020-61</t>
  </si>
  <si>
    <t>550 Wheeler Dr</t>
  </si>
  <si>
    <t>2020-62</t>
  </si>
  <si>
    <t>621 Lyman Pl</t>
  </si>
  <si>
    <t>2020-66</t>
  </si>
  <si>
    <t>Platinum Builders</t>
  </si>
  <si>
    <t>746 Second Ave</t>
  </si>
  <si>
    <t>2020-67</t>
  </si>
  <si>
    <t>Iron River Construction</t>
  </si>
  <si>
    <t>209 George St</t>
  </si>
  <si>
    <t>2020-47</t>
  </si>
  <si>
    <t>Mint Roofing</t>
  </si>
  <si>
    <t>444 Second St</t>
  </si>
  <si>
    <t>2020-52</t>
  </si>
  <si>
    <t>Fulaas Exteriors Inc</t>
  </si>
  <si>
    <t>162 Second St</t>
  </si>
  <si>
    <t>2020-53</t>
  </si>
  <si>
    <t>Love Exteriors</t>
  </si>
  <si>
    <t>629 Third Ave</t>
  </si>
  <si>
    <t>2020-54</t>
  </si>
  <si>
    <t>Arko Enterprises</t>
  </si>
  <si>
    <t>531 Wheeler Dr</t>
  </si>
  <si>
    <t>2020-56</t>
  </si>
  <si>
    <t>610 Lyman Pl</t>
  </si>
  <si>
    <t>2020-37</t>
  </si>
  <si>
    <t>654 Second Ave</t>
  </si>
  <si>
    <t>2020-25</t>
  </si>
  <si>
    <t>Rey Cintron</t>
  </si>
  <si>
    <t>136 Second St</t>
  </si>
  <si>
    <t>2020-23</t>
  </si>
  <si>
    <t>Renewal by Anderson</t>
  </si>
  <si>
    <t>449 Second Street</t>
  </si>
  <si>
    <t>2020-20</t>
  </si>
  <si>
    <t>Les Jones Roofing</t>
  </si>
  <si>
    <t>4 Maclynn Road</t>
  </si>
  <si>
    <t>2020-11</t>
  </si>
  <si>
    <t xml:space="preserve">Incline Exteriors </t>
  </si>
  <si>
    <t>369 George St</t>
  </si>
  <si>
    <t>PID</t>
  </si>
  <si>
    <t>2021-17</t>
  </si>
  <si>
    <t>Patrick Foss</t>
  </si>
  <si>
    <t>456 Lafayette Ave</t>
  </si>
  <si>
    <t>2021-19</t>
  </si>
  <si>
    <t xml:space="preserve">Weatherguard Construction Company </t>
  </si>
  <si>
    <t>540 Division St</t>
  </si>
  <si>
    <t>2021-22</t>
  </si>
  <si>
    <t>Donald Robin</t>
  </si>
  <si>
    <t>193 Third St</t>
  </si>
  <si>
    <t>2021-23</t>
  </si>
  <si>
    <t>New Life Contracting</t>
  </si>
  <si>
    <t>182 Second St</t>
  </si>
  <si>
    <t>2021-26</t>
  </si>
  <si>
    <t>535 Division St</t>
  </si>
  <si>
    <t>2021-27</t>
  </si>
  <si>
    <t>748 Second Ave</t>
  </si>
  <si>
    <t>2021-30</t>
  </si>
  <si>
    <t>Options Exteriors</t>
  </si>
  <si>
    <t>190 Third St</t>
  </si>
  <si>
    <t>2021-32</t>
  </si>
  <si>
    <t>Kaufaman Roofing</t>
  </si>
  <si>
    <t>697 Glencoe Rd</t>
  </si>
  <si>
    <t>2021-33</t>
  </si>
  <si>
    <t>All Around</t>
  </si>
  <si>
    <t>260 Mill Street</t>
  </si>
  <si>
    <t>2021-35</t>
  </si>
  <si>
    <t>531 Division St</t>
  </si>
  <si>
    <t>2021-36</t>
  </si>
  <si>
    <t>All Elements, Inc.</t>
  </si>
  <si>
    <t>680 Mill St</t>
  </si>
  <si>
    <t>2021-37</t>
  </si>
  <si>
    <t>631 Third St</t>
  </si>
  <si>
    <t>2021-38</t>
  </si>
  <si>
    <t>Amek Inc</t>
  </si>
  <si>
    <t>442 Lafayette</t>
  </si>
  <si>
    <t>2021-40</t>
  </si>
  <si>
    <t>Highmark Exteriors</t>
  </si>
  <si>
    <t>221 George St</t>
  </si>
  <si>
    <t>2021-41</t>
  </si>
  <si>
    <t>Ashton McGee Resrotation</t>
  </si>
  <si>
    <t>137 Third St</t>
  </si>
  <si>
    <t>2021-43</t>
  </si>
  <si>
    <t>Highmark Restoration</t>
  </si>
  <si>
    <t>126 Courtland St</t>
  </si>
  <si>
    <t>2021-47</t>
  </si>
  <si>
    <t>534 Division Street</t>
  </si>
  <si>
    <t>2021-48</t>
  </si>
  <si>
    <t>Craftsmans Choice</t>
  </si>
  <si>
    <t>690 Glencoe Road</t>
  </si>
  <si>
    <t>2021-49</t>
  </si>
  <si>
    <t>301 2nd Street</t>
  </si>
  <si>
    <t>2021-50</t>
  </si>
  <si>
    <t>317 2nd Street</t>
  </si>
  <si>
    <t>2021-51</t>
  </si>
  <si>
    <t>Nowtown Exteriors</t>
  </si>
  <si>
    <t>230 Monroe Street</t>
  </si>
  <si>
    <t>2021-52</t>
  </si>
  <si>
    <t>Snap Construction</t>
  </si>
  <si>
    <t>801 Pleasant Street</t>
  </si>
  <si>
    <t>2021-54</t>
  </si>
  <si>
    <t>131 2nd Street</t>
  </si>
  <si>
    <t>2021-55</t>
  </si>
  <si>
    <t>2021-57</t>
  </si>
  <si>
    <t>Pinnacle Roofing Systems</t>
  </si>
  <si>
    <t>840 + 846 3rd Ave</t>
  </si>
  <si>
    <t>2021-58</t>
  </si>
  <si>
    <t>651 3rd Street</t>
  </si>
  <si>
    <t>2021-61</t>
  </si>
  <si>
    <t>First Choice Interiors</t>
  </si>
  <si>
    <t>1 3rd Street</t>
  </si>
  <si>
    <t>2021-62</t>
  </si>
  <si>
    <t>Miller Design and Exteriors</t>
  </si>
  <si>
    <t>620 Lyman Place</t>
  </si>
  <si>
    <t>2021-63</t>
  </si>
  <si>
    <t>631 Lyman Place</t>
  </si>
  <si>
    <t>2021-65</t>
  </si>
  <si>
    <t>Rainbow Roofing</t>
  </si>
  <si>
    <t>173 2nd Street</t>
  </si>
  <si>
    <t>2021-66</t>
  </si>
  <si>
    <t>Berwald Rooding</t>
  </si>
  <si>
    <t>274-278 Water Street</t>
  </si>
  <si>
    <t>2021-73</t>
  </si>
  <si>
    <t>Minnesota Restoration</t>
  </si>
  <si>
    <t>444 3rd Streett</t>
  </si>
  <si>
    <t>2021-74</t>
  </si>
  <si>
    <t>Anchor Roofing and Exteriors</t>
  </si>
  <si>
    <t>200 3rd Street</t>
  </si>
  <si>
    <t>2021-76</t>
  </si>
  <si>
    <t>Today's Exteriors</t>
  </si>
  <si>
    <t>677 Mill Street</t>
  </si>
  <si>
    <t>2021-78</t>
  </si>
  <si>
    <t>First Choice Exteriors</t>
  </si>
  <si>
    <t>31 Tird St</t>
  </si>
  <si>
    <t>2021-79</t>
  </si>
  <si>
    <t>Miller Design</t>
  </si>
  <si>
    <t>559 Wheeler St.</t>
  </si>
  <si>
    <t>2021-82</t>
  </si>
  <si>
    <t>Kohls Foam Systems</t>
  </si>
  <si>
    <t>306 Water Street</t>
  </si>
  <si>
    <t>2021-83</t>
  </si>
  <si>
    <t>Incline Exterior</t>
  </si>
  <si>
    <t>180 George Street</t>
  </si>
  <si>
    <t>2021-84</t>
  </si>
  <si>
    <t>Bruce Anderson</t>
  </si>
  <si>
    <t>237 Center Street</t>
  </si>
  <si>
    <t>2021-88</t>
  </si>
  <si>
    <t>540 Wheeler St</t>
  </si>
  <si>
    <t>119..48</t>
  </si>
  <si>
    <t>Double Fee</t>
  </si>
  <si>
    <t>2021-89</t>
  </si>
  <si>
    <t>575 William Street</t>
  </si>
  <si>
    <t>2021-90</t>
  </si>
  <si>
    <t>SJS Exteriors Inc.</t>
  </si>
  <si>
    <t>631 Pleasant Street</t>
  </si>
  <si>
    <t>55..00</t>
  </si>
  <si>
    <t>2021-91</t>
  </si>
  <si>
    <t>Presidential Construction</t>
  </si>
  <si>
    <t>538 Division Street</t>
  </si>
  <si>
    <t>2021-93</t>
  </si>
  <si>
    <t>548 Mill Street</t>
  </si>
  <si>
    <t>2021-97</t>
  </si>
  <si>
    <t>Galvin Home Renovations</t>
  </si>
  <si>
    <t xml:space="preserve"> </t>
  </si>
  <si>
    <t>2021-98</t>
  </si>
  <si>
    <t>354 Oak Street</t>
  </si>
  <si>
    <t>2021-101</t>
  </si>
  <si>
    <t>614 Pleasant St</t>
  </si>
  <si>
    <t>2021-102</t>
  </si>
  <si>
    <t>Elysian Contracting</t>
  </si>
  <si>
    <t>712 3rd Avenue</t>
  </si>
  <si>
    <t>2021-104</t>
  </si>
  <si>
    <t>ClearPoint Construction</t>
  </si>
  <si>
    <t>300 Oak Street</t>
  </si>
  <si>
    <t>2021-107</t>
  </si>
  <si>
    <t>304 Water Street</t>
  </si>
  <si>
    <t>2021-108</t>
  </si>
  <si>
    <t>Better Solutions Sorm Co</t>
  </si>
  <si>
    <t>609 Glencoe</t>
  </si>
  <si>
    <t>2021-115B</t>
  </si>
  <si>
    <t>Anchor Roofing &amp; Exteriors</t>
  </si>
  <si>
    <t>635 Glencoe Road</t>
  </si>
  <si>
    <t>2021-117B</t>
  </si>
  <si>
    <t>Lexington Roofing &amp; Remodeling</t>
  </si>
  <si>
    <t>647 2nd Ave.</t>
  </si>
  <si>
    <t>2021-118B</t>
  </si>
  <si>
    <t>Storm Group Roofing</t>
  </si>
  <si>
    <t>435 Hwy 7</t>
  </si>
  <si>
    <t>2021-119B</t>
  </si>
  <si>
    <t>427 Hwy 7</t>
  </si>
  <si>
    <t>2021-123B</t>
  </si>
  <si>
    <t>634 3rd Avenue</t>
  </si>
  <si>
    <t>2021-124B</t>
  </si>
  <si>
    <t>152 3rd St.</t>
  </si>
  <si>
    <t>re-roof</t>
  </si>
  <si>
    <t>2021-125B</t>
  </si>
  <si>
    <t>Bolechowski Construction LLC</t>
  </si>
  <si>
    <t>601 Elm Place</t>
  </si>
  <si>
    <t>2021-129B</t>
  </si>
  <si>
    <t>Kaufman Roofing</t>
  </si>
  <si>
    <t>180 West Lake St.</t>
  </si>
  <si>
    <t>2021-133B</t>
  </si>
  <si>
    <t>Storm Pro Exterors</t>
  </si>
  <si>
    <t>614 Glencoe Rd.</t>
  </si>
  <si>
    <t>2021-134B</t>
  </si>
  <si>
    <t>604 Glencoe Rd.</t>
  </si>
  <si>
    <t>2021-138B</t>
  </si>
  <si>
    <t>Legacy Resoration</t>
  </si>
  <si>
    <t xml:space="preserve">108 2nd St. </t>
  </si>
  <si>
    <t>2021-139B</t>
  </si>
  <si>
    <t>Elsian Construction</t>
  </si>
  <si>
    <t>191 Oak St.</t>
  </si>
  <si>
    <t>2021-141B</t>
  </si>
  <si>
    <t>533 Mill Street</t>
  </si>
  <si>
    <t>2021-152B</t>
  </si>
  <si>
    <t>Roof Company NA</t>
  </si>
  <si>
    <t>811 Pleasant St.</t>
  </si>
  <si>
    <t>PERMIT CLOSED</t>
  </si>
  <si>
    <t>2022-29B</t>
  </si>
  <si>
    <t>X</t>
  </si>
  <si>
    <t>Highmark Restorations</t>
  </si>
  <si>
    <t>341172420004</t>
  </si>
  <si>
    <t>749 Pleasant St.</t>
  </si>
  <si>
    <t>2022-30B</t>
  </si>
  <si>
    <t>Storm Pro Exteriors</t>
  </si>
  <si>
    <t>3411723420060</t>
  </si>
  <si>
    <t>700 Pleasant St.</t>
  </si>
  <si>
    <t>2022-36B</t>
  </si>
  <si>
    <t>Donald Douglass</t>
  </si>
  <si>
    <t>3411723140004</t>
  </si>
  <si>
    <t>472 3rd Street</t>
  </si>
  <si>
    <t>2022-37B</t>
  </si>
  <si>
    <t>Smart Builders</t>
  </si>
  <si>
    <t>3511723230049</t>
  </si>
  <si>
    <t>271 Morse Acve.</t>
  </si>
  <si>
    <t>2022-40B</t>
  </si>
  <si>
    <t>3511723230034</t>
  </si>
  <si>
    <t>525 3rd St.</t>
  </si>
  <si>
    <t>2022-41B</t>
  </si>
  <si>
    <t>Customer First Contractors</t>
  </si>
  <si>
    <t>271123440020</t>
  </si>
  <si>
    <t>158 1st St.</t>
  </si>
  <si>
    <t>2002-49B</t>
  </si>
  <si>
    <t>3511723230113</t>
  </si>
  <si>
    <t>701 Highway 7</t>
  </si>
  <si>
    <t>2022-50B</t>
  </si>
  <si>
    <t>Blue Sky Chimney Sweeps</t>
  </si>
  <si>
    <t>3511723320018</t>
  </si>
  <si>
    <t>559 Wheeler Dr.</t>
  </si>
  <si>
    <t>2022-52B</t>
  </si>
  <si>
    <t>3411723110143</t>
  </si>
  <si>
    <t>322 2nd St.</t>
  </si>
  <si>
    <t>2022-61B</t>
  </si>
  <si>
    <t xml:space="preserve">North Construction &amp; Restoration </t>
  </si>
  <si>
    <t>341173110092</t>
  </si>
  <si>
    <t>411 Lake St/Bays Shore Condos</t>
  </si>
  <si>
    <t>2022-62B</t>
  </si>
  <si>
    <t>North Construction &amp; Restoration</t>
  </si>
  <si>
    <t>3411723110102</t>
  </si>
  <si>
    <t>427 Lake St/Bay Shore Condos</t>
  </si>
  <si>
    <t>2022-63B</t>
  </si>
  <si>
    <t>North Construciton &amp; Restoration</t>
  </si>
  <si>
    <t>3411723110105</t>
  </si>
  <si>
    <t>437 Lake St/Bay Shore Condos</t>
  </si>
  <si>
    <t>2022-71B</t>
  </si>
  <si>
    <t>Ashton McGee Restoration</t>
  </si>
  <si>
    <t>3411723120043</t>
  </si>
  <si>
    <t>251 West Lake St.</t>
  </si>
  <si>
    <t>2022-76B</t>
  </si>
  <si>
    <t>3411723140031</t>
  </si>
  <si>
    <t>435 Water st.</t>
  </si>
  <si>
    <t>2022-80B</t>
  </si>
  <si>
    <t>Twin City Roofing</t>
  </si>
  <si>
    <t>3411723310048</t>
  </si>
  <si>
    <t>240 Monroe</t>
  </si>
  <si>
    <t>Permit</t>
  </si>
  <si>
    <t>Closed</t>
  </si>
  <si>
    <t>2023-40B</t>
  </si>
  <si>
    <t>x</t>
  </si>
  <si>
    <t>Allstar Construction</t>
  </si>
  <si>
    <t>3411723130073</t>
  </si>
  <si>
    <t>526 William St.</t>
  </si>
  <si>
    <t>2023-45B</t>
  </si>
  <si>
    <t>Hoffman Weber Construction</t>
  </si>
  <si>
    <t>3411723210044</t>
  </si>
  <si>
    <t>101 George St.</t>
  </si>
  <si>
    <t>2023-49B</t>
  </si>
  <si>
    <t>Roof Company NA, Inc</t>
  </si>
  <si>
    <t>3411723130036</t>
  </si>
  <si>
    <t>386 Oak St.</t>
  </si>
  <si>
    <t>2023-51B</t>
  </si>
  <si>
    <t>JMN Builders</t>
  </si>
  <si>
    <t>351172340016</t>
  </si>
  <si>
    <t>401 Division St.</t>
  </si>
  <si>
    <t>2023-53B</t>
  </si>
  <si>
    <t>3411723130032</t>
  </si>
  <si>
    <t xml:space="preserve">361 George St. </t>
  </si>
  <si>
    <t>2023-57B</t>
  </si>
  <si>
    <t>All Energy Solar</t>
  </si>
  <si>
    <t>2711723430019</t>
  </si>
  <si>
    <t>162 W. Lake St.</t>
  </si>
  <si>
    <t>2023-62B</t>
  </si>
  <si>
    <t>Viking Contractors</t>
  </si>
  <si>
    <t>3511723230052</t>
  </si>
  <si>
    <t>525 Wheeler Dr.</t>
  </si>
  <si>
    <t>2023-70B</t>
  </si>
  <si>
    <t>Colson Custom Homes</t>
  </si>
  <si>
    <t>351172340026</t>
  </si>
  <si>
    <t>536  Division St.</t>
  </si>
  <si>
    <t>2023-72b</t>
  </si>
  <si>
    <t>3411723210008</t>
  </si>
  <si>
    <t>130 Oak Street</t>
  </si>
  <si>
    <t>2023-73B</t>
  </si>
  <si>
    <t>Pro-Tech Exteriors</t>
  </si>
  <si>
    <t>3511723320020</t>
  </si>
  <si>
    <t>609 Mill St.</t>
  </si>
  <si>
    <t>2023-84B</t>
  </si>
  <si>
    <t>Key Prime Roofing Inc</t>
  </si>
  <si>
    <t>3 Maclynn Road</t>
  </si>
  <si>
    <t>2023-86B</t>
  </si>
  <si>
    <t>Thurnco Inc.</t>
  </si>
  <si>
    <t>355 2nd St.</t>
  </si>
  <si>
    <t xml:space="preserve">2023-98B </t>
  </si>
  <si>
    <t>Fulsaas Exteriors Inc.</t>
  </si>
  <si>
    <t>125 2nd St.</t>
  </si>
  <si>
    <t>PERMIT NO.</t>
  </si>
  <si>
    <t>Permit Closed</t>
  </si>
  <si>
    <t>COST ESTIMATE</t>
  </si>
  <si>
    <t>PERMIT FEE</t>
  </si>
  <si>
    <t>PLAN CHECK FEE</t>
  </si>
  <si>
    <t>ADMIN FEE</t>
  </si>
  <si>
    <t>2024-11B</t>
  </si>
  <si>
    <t>2024-24B</t>
  </si>
  <si>
    <t>Home Exteriors</t>
  </si>
  <si>
    <t>182 3rd St.</t>
  </si>
  <si>
    <t>2024-26B</t>
  </si>
  <si>
    <t>3511723240023</t>
  </si>
  <si>
    <t>535 Wheeler Drive</t>
  </si>
  <si>
    <t>2024-35B</t>
  </si>
  <si>
    <t>10 George St</t>
  </si>
  <si>
    <t>2024-45B</t>
  </si>
  <si>
    <t>APK Restoration LLC</t>
  </si>
  <si>
    <t>3511723240035</t>
  </si>
  <si>
    <t xml:space="preserve">725 3rd Ave. </t>
  </si>
  <si>
    <t>2024-47B</t>
  </si>
  <si>
    <t>3411723120037</t>
  </si>
  <si>
    <t>200 George Street</t>
  </si>
  <si>
    <t>2024-50B</t>
  </si>
  <si>
    <t>3411723410018</t>
  </si>
  <si>
    <t>501 Elm Place</t>
  </si>
  <si>
    <t>2024-53B</t>
  </si>
  <si>
    <t>Maas Restoration</t>
  </si>
  <si>
    <t>3511723320019</t>
  </si>
  <si>
    <t>565 Wheeler Dr</t>
  </si>
  <si>
    <t>2024-66B</t>
  </si>
  <si>
    <t>6/26/247</t>
  </si>
  <si>
    <t>3411723110144</t>
  </si>
  <si>
    <t>481 2nd Street</t>
  </si>
  <si>
    <t>2024-88B</t>
  </si>
  <si>
    <t>955 Excelsior Blvd</t>
  </si>
  <si>
    <t>2024-89B</t>
  </si>
  <si>
    <t>Midwest Construction &amp; Remodeling</t>
  </si>
  <si>
    <t>214 Bell Street</t>
  </si>
  <si>
    <t>2024-97B</t>
  </si>
  <si>
    <t>Cory T</t>
  </si>
  <si>
    <t>322 Lake St.</t>
  </si>
  <si>
    <t>2024-112B</t>
  </si>
  <si>
    <t>34-117-23-12-0087</t>
  </si>
  <si>
    <t>127 Bell St</t>
  </si>
  <si>
    <t>2024-114B</t>
  </si>
  <si>
    <t>34-117-23-11-0015</t>
  </si>
  <si>
    <t>429 2nd St</t>
  </si>
  <si>
    <t>2024-118B</t>
  </si>
  <si>
    <t>Kuehn Roofing Systems</t>
  </si>
  <si>
    <t>34-117-23-11-0033</t>
  </si>
  <si>
    <t>261 Water Street</t>
  </si>
  <si>
    <t>2024-124B</t>
  </si>
  <si>
    <t>Autumn Ridge Homes Inc</t>
  </si>
  <si>
    <t>35-117-23-31-0001</t>
  </si>
  <si>
    <t>667 Mill Street</t>
  </si>
  <si>
    <t>PROPERTY OWNER</t>
  </si>
  <si>
    <t>DESCRIPTION</t>
  </si>
  <si>
    <t>PLAN CHECK</t>
  </si>
  <si>
    <t>2025-112B</t>
  </si>
  <si>
    <t>Chimney Doctors</t>
  </si>
  <si>
    <t>Victoria Izquierdo</t>
  </si>
  <si>
    <t>remove clay tiles and install new top</t>
  </si>
  <si>
    <t>748 2nd Ave</t>
  </si>
  <si>
    <t>2025-23B</t>
  </si>
  <si>
    <t>Trinity Exteriors</t>
  </si>
  <si>
    <t>Amy Schwantes</t>
  </si>
  <si>
    <t>Reroofing</t>
  </si>
  <si>
    <t>253 First Street</t>
  </si>
  <si>
    <t>2025-38B</t>
  </si>
  <si>
    <t>B.L. Dalsin Roofing</t>
  </si>
  <si>
    <t>Minnetonka Public Schools</t>
  </si>
  <si>
    <t>Re-roofing elementary school</t>
  </si>
  <si>
    <t>441 Oak Street</t>
  </si>
  <si>
    <t>2025-41B</t>
  </si>
  <si>
    <t>Wild Construction</t>
  </si>
  <si>
    <t>Jeanna French</t>
  </si>
  <si>
    <t>Re-roofing / permit repulled</t>
  </si>
  <si>
    <t>220 West Lake Street</t>
  </si>
  <si>
    <t>2025-43B</t>
  </si>
  <si>
    <t>Robinson Property Solutions</t>
  </si>
  <si>
    <t>Wright Team Properties LLC</t>
  </si>
  <si>
    <t>Reroof and residing</t>
  </si>
  <si>
    <t>1 Maclynn Road</t>
  </si>
  <si>
    <t>2025-45B</t>
  </si>
  <si>
    <t>Gassen Construction Mgmt</t>
  </si>
  <si>
    <t>Wyer Hill</t>
  </si>
  <si>
    <t>201 Mill Street</t>
  </si>
  <si>
    <t>2025-46B</t>
  </si>
  <si>
    <t>203 Mill Street</t>
  </si>
  <si>
    <t>2025-47B</t>
  </si>
  <si>
    <t>205 Mill Street</t>
  </si>
  <si>
    <t>2025-74B</t>
  </si>
  <si>
    <t>Veronica Grover</t>
  </si>
  <si>
    <t>156 Lake Street</t>
  </si>
  <si>
    <t>2025-75B</t>
  </si>
  <si>
    <t>Self</t>
  </si>
  <si>
    <t>Larry Samuelson</t>
  </si>
  <si>
    <t>671 Glencoe Road</t>
  </si>
  <si>
    <t>2025-76B</t>
  </si>
  <si>
    <t>Modern Exterior Systems</t>
  </si>
  <si>
    <t>Dennis Gilmore</t>
  </si>
  <si>
    <t>Reroof porch</t>
  </si>
  <si>
    <t>2025-84B</t>
  </si>
  <si>
    <t>Scott Roemig</t>
  </si>
  <si>
    <t>Reroofing house and garage</t>
  </si>
  <si>
    <t>325 Academy Avenue</t>
  </si>
  <si>
    <t>2025-87B</t>
  </si>
  <si>
    <t>Alexander Home Services</t>
  </si>
  <si>
    <t>Troy Peterson</t>
  </si>
  <si>
    <t>Partial reroof</t>
  </si>
  <si>
    <t>156 Linwood Ave</t>
  </si>
  <si>
    <t>2025-89B</t>
  </si>
  <si>
    <t>Archcraft Exteriors</t>
  </si>
  <si>
    <t>Bill Rothschild</t>
  </si>
  <si>
    <t>Reroofing house</t>
  </si>
  <si>
    <t>249 Mill Street</t>
  </si>
  <si>
    <t>2025-95B</t>
  </si>
  <si>
    <t>Maz Services Inc</t>
  </si>
  <si>
    <t>Charlie Curbia</t>
  </si>
  <si>
    <t>265 Mill Street</t>
  </si>
  <si>
    <t>2025-107B</t>
  </si>
  <si>
    <t>Mike and Cathy Rude</t>
  </si>
  <si>
    <t xml:space="preserve">remove existing roof system and replace using OC Truedefiition duration asphalt shingles </t>
  </si>
  <si>
    <t>176 Linwood Ave</t>
  </si>
  <si>
    <t>2025-108B</t>
  </si>
  <si>
    <t>Four Seasons Builders LLC</t>
  </si>
  <si>
    <t>Carolyn Ginger</t>
  </si>
  <si>
    <t>Replace Roof</t>
  </si>
  <si>
    <t>755 Grant Street</t>
  </si>
  <si>
    <t>2026-07B</t>
  </si>
  <si>
    <t>Cortland Custom Homes</t>
  </si>
  <si>
    <t>Jack Bennett</t>
  </si>
  <si>
    <t xml:space="preserve">interior remodel, new siding, roofing windows, new roof structure </t>
  </si>
  <si>
    <t>150 Bell St</t>
  </si>
  <si>
    <t>386 9.64</t>
  </si>
  <si>
    <t>2026-15B</t>
  </si>
  <si>
    <t>Kingfisher Construction</t>
  </si>
  <si>
    <t>Dave Lawrence</t>
  </si>
  <si>
    <t>remove and replace roof</t>
  </si>
  <si>
    <t>825 Hidden Lane</t>
  </si>
  <si>
    <t>2026-17B</t>
  </si>
  <si>
    <t>Pass Construction</t>
  </si>
  <si>
    <t>Laura and Vern Radewald</t>
  </si>
  <si>
    <t>replace shingles</t>
  </si>
  <si>
    <t>4 1st st</t>
  </si>
  <si>
    <t>2026-20B</t>
  </si>
  <si>
    <t xml:space="preserve">Mike North </t>
  </si>
  <si>
    <t>Sara North</t>
  </si>
  <si>
    <t>roofing</t>
  </si>
  <si>
    <t>210 george st</t>
  </si>
  <si>
    <t>2026-24B</t>
  </si>
  <si>
    <t>Summit Construction Group</t>
  </si>
  <si>
    <t>Sue Steingas</t>
  </si>
  <si>
    <t>454 Lake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</si>
</sst>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[$-409]d\-mmm;@"/>
    <numFmt numFmtId="166" formatCode="m/d/yy;@"/>
    <numFmt numFmtId="167" formatCode="&quot;$&quot;#,##0.00;[Red]&quot;$&quot;#,##0.00"/>
    <numFmt numFmtId="168" formatCode="&quot;$&quot;#,##0.0_);\(&quot;$&quot;#,##0.0\)"/>
    <numFmt numFmtId="169" formatCode="0_);\(0\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Times New Roman"/>
      <family val="1"/>
    </font>
    <font>
      <sz val="8"/>
      <color rgb="FF000000"/>
      <name val="Times New Roman"/>
      <family val="1"/>
    </font>
    <font>
      <sz val="8"/>
      <name val="Arial"/>
      <family val="2"/>
    </font>
    <font>
      <sz val="12"/>
      <name val="Times New Roman"/>
      <family val="1"/>
    </font>
    <font>
      <sz val="9"/>
      <color rgb="FF000000"/>
      <name val="Arial"/>
      <family val="2"/>
    </font>
    <font>
      <sz val="9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sz val="7"/>
      <name val="Arial"/>
      <family val="2"/>
    </font>
    <font>
      <sz val="10"/>
      <name val="Times New Roman"/>
      <family val="1"/>
    </font>
    <font>
      <sz val="9.5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8">
    <xf numFmtId="0" fontId="0" fillId="0" borderId="0" xfId="0"/>
    <xf numFmtId="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 wrapText="1"/>
    </xf>
    <xf numFmtId="7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wrapText="1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7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7" fontId="2" fillId="0" borderId="0" xfId="0" applyNumberFormat="1" applyFont="1"/>
    <xf numFmtId="0" fontId="2" fillId="0" borderId="0" xfId="0" applyFont="1" applyAlignment="1">
      <alignment wrapText="1"/>
    </xf>
    <xf numFmtId="164" fontId="2" fillId="0" borderId="0" xfId="0" applyNumberFormat="1" applyFont="1"/>
    <xf numFmtId="7" fontId="2" fillId="0" borderId="0" xfId="0" applyNumberFormat="1" applyFont="1" applyAlignment="1">
      <alignment horizontal="left"/>
    </xf>
    <xf numFmtId="7" fontId="2" fillId="0" borderId="0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 vertical="center" wrapText="1"/>
    </xf>
    <xf numFmtId="7" fontId="2" fillId="0" borderId="0" xfId="0" applyNumberFormat="1" applyFont="1" applyAlignment="1">
      <alignment horizontal="left" wrapText="1"/>
    </xf>
    <xf numFmtId="7" fontId="2" fillId="0" borderId="0" xfId="0" applyNumberFormat="1" applyFont="1" applyAlignment="1">
      <alignment horizontal="center" vertical="center"/>
    </xf>
    <xf numFmtId="7" fontId="2" fillId="0" borderId="0" xfId="0" applyNumberFormat="1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center" wrapText="1"/>
    </xf>
    <xf numFmtId="166" fontId="2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7" fontId="3" fillId="0" borderId="0" xfId="0" applyNumberFormat="1" applyFont="1" applyAlignment="1">
      <alignment horizontal="center" wrapText="1"/>
    </xf>
    <xf numFmtId="167" fontId="2" fillId="0" borderId="0" xfId="0" applyNumberFormat="1" applyFont="1" applyAlignment="1">
      <alignment horizontal="center" wrapText="1"/>
    </xf>
    <xf numFmtId="7" fontId="4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5" fillId="0" borderId="0" xfId="0" applyFont="1"/>
    <xf numFmtId="164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7" fontId="2" fillId="0" borderId="0" xfId="0" applyNumberFormat="1" applyFont="1" applyAlignment="1">
      <alignment wrapText="1"/>
    </xf>
    <xf numFmtId="17" fontId="2" fillId="0" borderId="0" xfId="0" applyNumberFormat="1" applyFont="1" applyAlignment="1">
      <alignment horizontal="center"/>
    </xf>
    <xf numFmtId="2" fontId="2" fillId="0" borderId="0" xfId="0" applyNumberFormat="1" applyFont="1"/>
    <xf numFmtId="164" fontId="2" fillId="0" borderId="0" xfId="0" applyNumberFormat="1" applyFont="1" applyAlignment="1">
      <alignment horizontal="right"/>
    </xf>
    <xf numFmtId="7" fontId="2" fillId="0" borderId="0" xfId="0" applyNumberFormat="1" applyFont="1" applyAlignment="1">
      <alignment horizontal="right"/>
    </xf>
    <xf numFmtId="7" fontId="2" fillId="0" borderId="0" xfId="0" applyNumberFormat="1" applyFont="1" applyBorder="1" applyAlignment="1">
      <alignment horizontal="center" wrapText="1"/>
    </xf>
    <xf numFmtId="14" fontId="2" fillId="0" borderId="0" xfId="0" applyNumberFormat="1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164" fontId="2" fillId="0" borderId="0" xfId="0" applyNumberFormat="1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5" fontId="2" fillId="0" borderId="0" xfId="0" applyNumberFormat="1" applyFont="1"/>
    <xf numFmtId="7" fontId="2" fillId="0" borderId="1" xfId="0" applyNumberFormat="1" applyFont="1" applyBorder="1"/>
    <xf numFmtId="7" fontId="2" fillId="0" borderId="1" xfId="0" applyNumberFormat="1" applyFont="1" applyBorder="1" applyAlignment="1">
      <alignment wrapText="1"/>
    </xf>
    <xf numFmtId="165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7" fontId="6" fillId="0" borderId="0" xfId="0" applyNumberFormat="1" applyFont="1" applyAlignment="1">
      <alignment horizontal="center" wrapText="1"/>
    </xf>
    <xf numFmtId="14" fontId="7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wrapText="1"/>
    </xf>
    <xf numFmtId="167" fontId="7" fillId="0" borderId="0" xfId="0" applyNumberFormat="1" applyFont="1" applyAlignment="1">
      <alignment horizontal="center" wrapText="1"/>
    </xf>
    <xf numFmtId="7" fontId="7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 wrapText="1"/>
    </xf>
    <xf numFmtId="14" fontId="8" fillId="0" borderId="0" xfId="0" applyNumberFormat="1" applyFont="1" applyAlignment="1">
      <alignment horizontal="center" wrapText="1"/>
    </xf>
    <xf numFmtId="49" fontId="8" fillId="0" borderId="0" xfId="0" applyNumberFormat="1" applyFont="1" applyAlignment="1">
      <alignment horizontal="center" wrapText="1"/>
    </xf>
    <xf numFmtId="7" fontId="8" fillId="0" borderId="0" xfId="0" applyNumberFormat="1" applyFont="1" applyAlignment="1">
      <alignment horizontal="center" wrapText="1"/>
    </xf>
    <xf numFmtId="17" fontId="8" fillId="0" borderId="0" xfId="0" applyNumberFormat="1" applyFont="1" applyAlignment="1">
      <alignment horizontal="center" wrapText="1"/>
    </xf>
    <xf numFmtId="0" fontId="7" fillId="0" borderId="0" xfId="0" applyFont="1"/>
    <xf numFmtId="14" fontId="7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49" fontId="7" fillId="0" borderId="0" xfId="0" applyNumberFormat="1" applyFont="1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7" fillId="0" borderId="0" xfId="0" applyNumberFormat="1" applyFont="1" applyAlignment="1">
      <alignment horizontal="center"/>
    </xf>
    <xf numFmtId="17" fontId="7" fillId="0" borderId="0" xfId="0" applyNumberFormat="1" applyFont="1" applyAlignment="1">
      <alignment horizontal="center"/>
    </xf>
    <xf numFmtId="7" fontId="7" fillId="0" borderId="0" xfId="0" applyNumberFormat="1" applyFont="1" applyAlignment="1">
      <alignment horizontal="center"/>
    </xf>
    <xf numFmtId="7" fontId="7" fillId="0" borderId="0" xfId="0" applyNumberFormat="1" applyFont="1"/>
    <xf numFmtId="14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7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7" fontId="7" fillId="0" borderId="1" xfId="0" applyNumberFormat="1" applyFont="1" applyBorder="1" applyAlignment="1">
      <alignment horizontal="center"/>
    </xf>
    <xf numFmtId="7" fontId="4" fillId="0" borderId="1" xfId="0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7" fontId="7" fillId="0" borderId="1" xfId="0" applyNumberFormat="1" applyFont="1" applyBorder="1" applyAlignment="1">
      <alignment horizontal="center" wrapText="1"/>
    </xf>
    <xf numFmtId="7" fontId="9" fillId="0" borderId="0" xfId="0" applyNumberFormat="1" applyFont="1" applyAlignment="1">
      <alignment horizontal="center" wrapText="1"/>
    </xf>
    <xf numFmtId="14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 wrapText="1"/>
    </xf>
    <xf numFmtId="49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 wrapText="1"/>
    </xf>
    <xf numFmtId="7" fontId="10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44" fontId="7" fillId="0" borderId="0" xfId="1" applyFont="1"/>
    <xf numFmtId="168" fontId="7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7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7" fontId="9" fillId="0" borderId="0" xfId="0" applyNumberFormat="1" applyFont="1"/>
    <xf numFmtId="0" fontId="9" fillId="0" borderId="0" xfId="0" applyFont="1"/>
    <xf numFmtId="7" fontId="12" fillId="0" borderId="1" xfId="0" applyNumberFormat="1" applyFont="1" applyBorder="1" applyAlignment="1">
      <alignment horizontal="center" wrapText="1"/>
    </xf>
    <xf numFmtId="0" fontId="13" fillId="0" borderId="0" xfId="0" applyFont="1" applyAlignment="1">
      <alignment wrapText="1"/>
    </xf>
    <xf numFmtId="166" fontId="9" fillId="0" borderId="0" xfId="0" applyNumberFormat="1" applyFont="1" applyAlignment="1">
      <alignment horizontal="center" wrapText="1"/>
    </xf>
    <xf numFmtId="1" fontId="9" fillId="0" borderId="0" xfId="0" applyNumberFormat="1" applyFont="1" applyAlignment="1">
      <alignment horizontal="center" wrapText="1"/>
    </xf>
    <xf numFmtId="164" fontId="7" fillId="0" borderId="0" xfId="0" applyNumberFormat="1" applyFont="1" applyAlignment="1">
      <alignment wrapText="1"/>
    </xf>
    <xf numFmtId="164" fontId="9" fillId="0" borderId="0" xfId="0" applyNumberFormat="1" applyFont="1" applyAlignment="1">
      <alignment wrapText="1"/>
    </xf>
    <xf numFmtId="7" fontId="7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7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11" fillId="0" borderId="0" xfId="0" applyFont="1"/>
    <xf numFmtId="1" fontId="7" fillId="0" borderId="0" xfId="0" applyNumberFormat="1" applyFont="1" applyAlignment="1">
      <alignment horizontal="center" vertical="center" wrapText="1"/>
    </xf>
    <xf numFmtId="7" fontId="4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center" wrapText="1"/>
    </xf>
    <xf numFmtId="7" fontId="7" fillId="0" borderId="0" xfId="1" applyNumberFormat="1" applyFont="1"/>
    <xf numFmtId="49" fontId="4" fillId="0" borderId="0" xfId="0" applyNumberFormat="1" applyFont="1" applyAlignment="1">
      <alignment horizontal="center" wrapText="1"/>
    </xf>
    <xf numFmtId="14" fontId="4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17" fontId="4" fillId="0" borderId="0" xfId="0" applyNumberFormat="1" applyFont="1" applyAlignment="1">
      <alignment horizontal="center"/>
    </xf>
    <xf numFmtId="7" fontId="4" fillId="0" borderId="0" xfId="0" applyNumberFormat="1" applyFont="1"/>
    <xf numFmtId="0" fontId="4" fillId="0" borderId="0" xfId="0" applyFont="1"/>
    <xf numFmtId="7" fontId="9" fillId="0" borderId="0" xfId="0" applyNumberFormat="1" applyFont="1" applyBorder="1" applyAlignment="1">
      <alignment horizontal="center" wrapText="1"/>
    </xf>
    <xf numFmtId="14" fontId="9" fillId="0" borderId="0" xfId="0" applyNumberFormat="1" applyFont="1" applyBorder="1" applyAlignment="1">
      <alignment horizontal="center" wrapText="1"/>
    </xf>
    <xf numFmtId="49" fontId="9" fillId="0" borderId="0" xfId="0" applyNumberFormat="1" applyFont="1" applyBorder="1" applyAlignment="1">
      <alignment horizontal="center" wrapText="1"/>
    </xf>
    <xf numFmtId="0" fontId="9" fillId="0" borderId="0" xfId="0" applyFont="1" applyBorder="1"/>
    <xf numFmtId="7" fontId="4" fillId="0" borderId="0" xfId="0" applyNumberFormat="1" applyFont="1" applyBorder="1" applyAlignment="1">
      <alignment horizontal="center"/>
    </xf>
    <xf numFmtId="14" fontId="4" fillId="0" borderId="0" xfId="0" applyNumberFormat="1" applyFont="1" applyBorder="1" applyAlignment="1">
      <alignment horizontal="center"/>
    </xf>
    <xf numFmtId="169" fontId="4" fillId="0" borderId="0" xfId="0" applyNumberFormat="1" applyFont="1" applyBorder="1" applyAlignment="1">
      <alignment horizontal="center"/>
    </xf>
    <xf numFmtId="7" fontId="4" fillId="0" borderId="0" xfId="0" applyNumberFormat="1" applyFont="1" applyBorder="1" applyAlignment="1">
      <alignment horizontal="center" wrapText="1"/>
    </xf>
    <xf numFmtId="7" fontId="7" fillId="0" borderId="0" xfId="0" applyNumberFormat="1" applyFont="1" applyBorder="1" applyAlignment="1">
      <alignment horizontal="center"/>
    </xf>
    <xf numFmtId="14" fontId="7" fillId="0" borderId="0" xfId="0" applyNumberFormat="1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7" fillId="0" borderId="0" xfId="0" applyFont="1" applyBorder="1"/>
    <xf numFmtId="0" fontId="0" fillId="0" borderId="0" xfId="0" applyBorder="1"/>
    <xf numFmtId="7" fontId="7" fillId="0" borderId="0" xfId="0" applyNumberFormat="1" applyFont="1" applyBorder="1"/>
    <xf numFmtId="44" fontId="7" fillId="0" borderId="0" xfId="1" applyFont="1" applyBorder="1"/>
    <xf numFmtId="0" fontId="16" fillId="0" borderId="0" xfId="0" applyFont="1" applyBorder="1" applyAlignment="1">
      <alignment horizontal="center"/>
    </xf>
    <xf numFmtId="0" fontId="7" fillId="0" borderId="0" xfId="0" applyFont="1" applyAlignment="1">
      <alignment horizontal="left" wrapText="1"/>
    </xf>
    <xf numFmtId="7" fontId="9" fillId="0" borderId="0" xfId="0" applyNumberFormat="1" applyFont="1" applyAlignment="1">
      <alignment horizontal="left" wrapText="1"/>
    </xf>
    <xf numFmtId="7" fontId="7" fillId="0" borderId="0" xfId="0" applyNumberFormat="1" applyFont="1" applyAlignment="1">
      <alignment horizontal="left" wrapText="1"/>
    </xf>
    <xf numFmtId="7" fontId="4" fillId="0" borderId="0" xfId="0" applyNumberFormat="1" applyFont="1" applyAlignment="1">
      <alignment horizontal="left" wrapText="1"/>
    </xf>
    <xf numFmtId="7" fontId="7" fillId="0" borderId="0" xfId="0" applyNumberFormat="1" applyFont="1" applyBorder="1" applyAlignment="1">
      <alignment horizontal="center" wrapText="1"/>
    </xf>
    <xf numFmtId="14" fontId="7" fillId="0" borderId="0" xfId="0" applyNumberFormat="1" applyFont="1" applyBorder="1" applyAlignment="1">
      <alignment horizontal="center" wrapText="1"/>
    </xf>
    <xf numFmtId="7" fontId="7" fillId="0" borderId="0" xfId="0" applyNumberFormat="1" applyFont="1" applyBorder="1" applyAlignment="1">
      <alignment horizontal="left" wrapText="1"/>
    </xf>
    <xf numFmtId="49" fontId="7" fillId="0" borderId="0" xfId="0" applyNumberFormat="1" applyFont="1" applyBorder="1" applyAlignment="1">
      <alignment horizontal="center" wrapText="1"/>
    </xf>
    <xf numFmtId="7" fontId="4" fillId="0" borderId="0" xfId="0" applyNumberFormat="1" applyFont="1" applyBorder="1" applyAlignment="1">
      <alignment horizontal="left" wrapText="1"/>
    </xf>
    <xf numFmtId="7" fontId="12" fillId="0" borderId="0" xfId="0" applyNumberFormat="1" applyFont="1" applyBorder="1" applyAlignment="1">
      <alignment horizontal="center" wrapText="1"/>
    </xf>
    <xf numFmtId="49" fontId="7" fillId="0" borderId="0" xfId="0" applyNumberFormat="1" applyFont="1" applyBorder="1" applyAlignment="1">
      <alignment horizontal="center"/>
    </xf>
    <xf numFmtId="7" fontId="12" fillId="0" borderId="0" xfId="0" applyNumberFormat="1" applyFont="1" applyBorder="1" applyAlignment="1">
      <alignment horizontal="center"/>
    </xf>
    <xf numFmtId="14" fontId="0" fillId="0" borderId="0" xfId="0" applyNumberFormat="1"/>
    <xf numFmtId="3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4B76-0B72-48FC-BF20-0BD8E52B11BE}">
  <dimension ref="A1:J33"/>
  <sheetViews>
    <sheetView workbookViewId="0">
      <selection activeCell="M14" sqref="M14"/>
    </sheetView>
  </sheetViews>
  <sheetFormatPr defaultRowHeight="14.4" x14ac:dyDescent="0.3"/>
  <cols>
    <col min="3" max="3" width="15.88671875" bestFit="1" customWidth="1"/>
    <col min="4" max="4" width="8.109375" bestFit="1" customWidth="1"/>
    <col min="5" max="5" width="7.77734375" bestFit="1" customWidth="1"/>
  </cols>
  <sheetData>
    <row r="1" spans="1:10" x14ac:dyDescent="0.3">
      <c r="A1" s="1" t="s">
        <v>0</v>
      </c>
      <c r="B1" s="2"/>
      <c r="C1" s="2"/>
      <c r="D1" s="3"/>
      <c r="E1" s="1" t="s">
        <v>1</v>
      </c>
      <c r="F1" s="1" t="s">
        <v>0</v>
      </c>
      <c r="G1" s="1" t="s">
        <v>2</v>
      </c>
      <c r="H1" s="2"/>
      <c r="I1" s="2" t="s">
        <v>3</v>
      </c>
      <c r="J1" s="2"/>
    </row>
    <row r="2" spans="1:10" x14ac:dyDescent="0.3">
      <c r="A2" s="4" t="s">
        <v>4</v>
      </c>
      <c r="B2" s="4" t="s">
        <v>5</v>
      </c>
      <c r="C2" s="4" t="s">
        <v>6</v>
      </c>
      <c r="D2" s="5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9</v>
      </c>
      <c r="J2" s="4" t="s">
        <v>12</v>
      </c>
    </row>
    <row r="3" spans="1:10" x14ac:dyDescent="0.3">
      <c r="A3" s="21" t="s">
        <v>93</v>
      </c>
      <c r="B3" s="22">
        <v>43860</v>
      </c>
      <c r="C3" s="15" t="s">
        <v>94</v>
      </c>
      <c r="D3" s="21" t="s">
        <v>95</v>
      </c>
      <c r="E3" s="14">
        <v>12000</v>
      </c>
      <c r="F3" s="14">
        <v>221.25</v>
      </c>
      <c r="G3" s="14"/>
      <c r="H3" s="14">
        <v>6</v>
      </c>
      <c r="I3" s="14">
        <v>180</v>
      </c>
      <c r="J3" s="23">
        <f t="shared" ref="J3" si="0">SUM(F3:I3)</f>
        <v>407.25</v>
      </c>
    </row>
    <row r="4" spans="1:10" x14ac:dyDescent="0.3">
      <c r="A4" s="19" t="s">
        <v>90</v>
      </c>
      <c r="B4" s="8">
        <v>43942</v>
      </c>
      <c r="C4" s="20" t="s">
        <v>91</v>
      </c>
      <c r="D4" s="19" t="s">
        <v>92</v>
      </c>
      <c r="E4" s="19">
        <v>11492</v>
      </c>
      <c r="F4" s="19">
        <v>213.76</v>
      </c>
      <c r="G4" s="19"/>
      <c r="H4" s="19">
        <v>5.75</v>
      </c>
      <c r="I4" s="19">
        <v>57.46</v>
      </c>
      <c r="J4" s="19">
        <f>SUM(F4:I4)</f>
        <v>276.96999999999997</v>
      </c>
    </row>
    <row r="5" spans="1:10" ht="21.6" x14ac:dyDescent="0.3">
      <c r="A5" s="9" t="s">
        <v>87</v>
      </c>
      <c r="B5" s="17">
        <v>43962</v>
      </c>
      <c r="C5" s="9" t="s">
        <v>88</v>
      </c>
      <c r="D5" s="9" t="s">
        <v>89</v>
      </c>
      <c r="E5" s="9">
        <v>6921</v>
      </c>
      <c r="F5" s="9">
        <v>146.32</v>
      </c>
      <c r="G5" s="9"/>
      <c r="H5" s="9">
        <v>3.46</v>
      </c>
      <c r="I5" s="9">
        <v>34.6</v>
      </c>
      <c r="J5" s="18">
        <f>SUM(F5:I5)</f>
        <v>184.38</v>
      </c>
    </row>
    <row r="6" spans="1:10" ht="21.6" x14ac:dyDescent="0.3">
      <c r="A6" s="9" t="s">
        <v>84</v>
      </c>
      <c r="B6" s="17">
        <v>43972</v>
      </c>
      <c r="C6" s="9" t="s">
        <v>85</v>
      </c>
      <c r="D6" s="9" t="s">
        <v>86</v>
      </c>
      <c r="E6" s="9">
        <v>8000</v>
      </c>
      <c r="F6" s="9">
        <v>162.25</v>
      </c>
      <c r="G6" s="9"/>
      <c r="H6" s="9">
        <v>4</v>
      </c>
      <c r="I6" s="9">
        <v>40</v>
      </c>
      <c r="J6" s="18">
        <f>SUM(F6:I6)</f>
        <v>206.25</v>
      </c>
    </row>
    <row r="7" spans="1:10" ht="21.6" x14ac:dyDescent="0.3">
      <c r="A7" s="2" t="s">
        <v>82</v>
      </c>
      <c r="B7" s="6">
        <v>44041</v>
      </c>
      <c r="C7" s="9" t="s">
        <v>17</v>
      </c>
      <c r="D7" s="10" t="s">
        <v>83</v>
      </c>
      <c r="E7" s="1">
        <v>6500</v>
      </c>
      <c r="F7" s="1">
        <v>140.13</v>
      </c>
      <c r="G7" s="1"/>
      <c r="H7" s="1">
        <v>3.25</v>
      </c>
      <c r="I7" s="1">
        <v>32.5</v>
      </c>
      <c r="J7" s="1">
        <f>SUM(F7:I7)</f>
        <v>175.88</v>
      </c>
    </row>
    <row r="8" spans="1:10" ht="21.6" x14ac:dyDescent="0.3">
      <c r="A8" s="2" t="s">
        <v>68</v>
      </c>
      <c r="B8" s="6">
        <v>44077</v>
      </c>
      <c r="C8" s="12" t="s">
        <v>69</v>
      </c>
      <c r="D8" s="13" t="s">
        <v>70</v>
      </c>
      <c r="E8" s="14">
        <v>77000</v>
      </c>
      <c r="F8" s="12">
        <v>809.26</v>
      </c>
      <c r="G8" s="12"/>
      <c r="H8" s="12">
        <v>33.5</v>
      </c>
      <c r="I8" s="12">
        <v>200</v>
      </c>
      <c r="J8" s="1">
        <f t="shared" ref="J8:J12" si="1">SUM(F8:I8)</f>
        <v>1042.76</v>
      </c>
    </row>
    <row r="9" spans="1:10" ht="21.6" x14ac:dyDescent="0.3">
      <c r="A9" s="2" t="s">
        <v>71</v>
      </c>
      <c r="B9" s="6">
        <v>44095</v>
      </c>
      <c r="C9" s="15" t="s">
        <v>72</v>
      </c>
      <c r="D9" s="13" t="s">
        <v>73</v>
      </c>
      <c r="E9" s="12">
        <v>29000</v>
      </c>
      <c r="F9" s="12">
        <v>456</v>
      </c>
      <c r="G9" s="12"/>
      <c r="H9" s="12">
        <v>14.5</v>
      </c>
      <c r="I9" s="12">
        <v>100</v>
      </c>
      <c r="J9" s="1">
        <f t="shared" si="1"/>
        <v>570.5</v>
      </c>
    </row>
    <row r="10" spans="1:10" ht="21.6" x14ac:dyDescent="0.3">
      <c r="A10" s="2" t="s">
        <v>74</v>
      </c>
      <c r="B10" s="6">
        <v>44102</v>
      </c>
      <c r="C10" s="15" t="s">
        <v>75</v>
      </c>
      <c r="D10" s="13" t="s">
        <v>76</v>
      </c>
      <c r="E10" s="12">
        <v>10000</v>
      </c>
      <c r="F10" s="12">
        <v>191.75</v>
      </c>
      <c r="G10" s="12"/>
      <c r="H10" s="12">
        <v>5</v>
      </c>
      <c r="I10" s="12">
        <v>50</v>
      </c>
      <c r="J10" s="1">
        <f t="shared" si="1"/>
        <v>246.75</v>
      </c>
    </row>
    <row r="11" spans="1:10" ht="21.6" x14ac:dyDescent="0.3">
      <c r="A11" s="2" t="s">
        <v>77</v>
      </c>
      <c r="B11" s="6">
        <v>44102</v>
      </c>
      <c r="C11" s="15" t="s">
        <v>78</v>
      </c>
      <c r="D11" s="13" t="s">
        <v>79</v>
      </c>
      <c r="E11" s="12">
        <v>11000</v>
      </c>
      <c r="F11" s="12">
        <v>206.5</v>
      </c>
      <c r="G11" s="12"/>
      <c r="H11" s="12">
        <v>5.5</v>
      </c>
      <c r="I11" s="12">
        <v>55</v>
      </c>
      <c r="J11" s="1">
        <f t="shared" si="1"/>
        <v>267</v>
      </c>
    </row>
    <row r="12" spans="1:10" ht="21.6" x14ac:dyDescent="0.3">
      <c r="A12" s="2" t="s">
        <v>80</v>
      </c>
      <c r="B12" s="6">
        <v>44103</v>
      </c>
      <c r="C12" s="15" t="s">
        <v>26</v>
      </c>
      <c r="D12" s="13" t="s">
        <v>81</v>
      </c>
      <c r="E12" s="12">
        <v>14000</v>
      </c>
      <c r="F12" s="12">
        <v>250.75</v>
      </c>
      <c r="G12" s="12"/>
      <c r="H12" s="12">
        <v>7</v>
      </c>
      <c r="I12" s="12">
        <v>70</v>
      </c>
      <c r="J12" s="1">
        <f t="shared" si="1"/>
        <v>327.75</v>
      </c>
    </row>
    <row r="13" spans="1:10" ht="34.799999999999997" customHeight="1" x14ac:dyDescent="0.3">
      <c r="A13" s="1" t="s">
        <v>53</v>
      </c>
      <c r="B13" s="6">
        <v>44110</v>
      </c>
      <c r="C13" s="1" t="s">
        <v>54</v>
      </c>
      <c r="D13" s="1" t="s">
        <v>55</v>
      </c>
      <c r="E13" s="1">
        <v>20000</v>
      </c>
      <c r="F13" s="1">
        <v>339.25</v>
      </c>
      <c r="G13" s="1"/>
      <c r="H13" s="1">
        <v>10</v>
      </c>
      <c r="I13" s="1">
        <v>10</v>
      </c>
      <c r="J13" s="1">
        <f>SUM(F13:I13)</f>
        <v>359.25</v>
      </c>
    </row>
    <row r="14" spans="1:10" x14ac:dyDescent="0.3">
      <c r="A14" s="2" t="s">
        <v>56</v>
      </c>
      <c r="B14" s="6">
        <v>44116</v>
      </c>
      <c r="C14" s="1" t="s">
        <v>54</v>
      </c>
      <c r="D14" s="2" t="s">
        <v>57</v>
      </c>
      <c r="E14" s="7">
        <v>1500</v>
      </c>
      <c r="F14" s="1">
        <v>28.25</v>
      </c>
      <c r="G14" s="1"/>
      <c r="H14" s="1">
        <v>0.75</v>
      </c>
      <c r="I14" s="1">
        <v>7.5</v>
      </c>
      <c r="J14" s="1">
        <f t="shared" ref="J14:J18" si="2">SUM(F14:I14)</f>
        <v>36.5</v>
      </c>
    </row>
    <row r="15" spans="1:10" x14ac:dyDescent="0.3">
      <c r="A15" s="2" t="s">
        <v>58</v>
      </c>
      <c r="B15" s="6">
        <v>44119</v>
      </c>
      <c r="C15" s="1" t="s">
        <v>26</v>
      </c>
      <c r="D15" s="2" t="s">
        <v>59</v>
      </c>
      <c r="E15" s="1">
        <v>15000</v>
      </c>
      <c r="F15" s="1">
        <v>265.5</v>
      </c>
      <c r="G15" s="1"/>
      <c r="H15" s="1">
        <v>7.5</v>
      </c>
      <c r="I15" s="1">
        <v>75</v>
      </c>
      <c r="J15" s="1">
        <f t="shared" si="2"/>
        <v>348</v>
      </c>
    </row>
    <row r="16" spans="1:10" x14ac:dyDescent="0.3">
      <c r="A16" s="2" t="s">
        <v>60</v>
      </c>
      <c r="B16" s="6">
        <v>44119</v>
      </c>
      <c r="C16" s="1" t="s">
        <v>26</v>
      </c>
      <c r="D16" s="2" t="s">
        <v>61</v>
      </c>
      <c r="E16" s="1">
        <v>15000</v>
      </c>
      <c r="F16" s="1">
        <v>265.5</v>
      </c>
      <c r="G16" s="1"/>
      <c r="H16" s="1">
        <v>7.5</v>
      </c>
      <c r="I16" s="1">
        <v>75</v>
      </c>
      <c r="J16" s="1">
        <f t="shared" si="2"/>
        <v>348</v>
      </c>
    </row>
    <row r="17" spans="1:10" x14ac:dyDescent="0.3">
      <c r="A17" s="2" t="s">
        <v>62</v>
      </c>
      <c r="B17" s="6">
        <v>44130</v>
      </c>
      <c r="C17" s="1" t="s">
        <v>63</v>
      </c>
      <c r="D17" s="2" t="s">
        <v>64</v>
      </c>
      <c r="E17" s="1">
        <v>8000</v>
      </c>
      <c r="F17" s="1">
        <v>162.25</v>
      </c>
      <c r="G17" s="1"/>
      <c r="H17" s="1">
        <v>4</v>
      </c>
      <c r="I17" s="1">
        <v>40</v>
      </c>
      <c r="J17" s="1">
        <f t="shared" si="2"/>
        <v>206.25</v>
      </c>
    </row>
    <row r="18" spans="1:10" x14ac:dyDescent="0.3">
      <c r="A18" s="2" t="s">
        <v>65</v>
      </c>
      <c r="B18" s="6">
        <v>44130</v>
      </c>
      <c r="C18" s="1" t="s">
        <v>66</v>
      </c>
      <c r="D18" s="2" t="s">
        <v>67</v>
      </c>
      <c r="E18" s="1">
        <v>23560</v>
      </c>
      <c r="F18" s="1">
        <v>391.76</v>
      </c>
      <c r="G18" s="11"/>
      <c r="H18" s="1">
        <v>11.78</v>
      </c>
      <c r="I18" s="1">
        <v>100</v>
      </c>
      <c r="J18" s="1">
        <f t="shared" si="2"/>
        <v>503.53999999999996</v>
      </c>
    </row>
    <row r="19" spans="1:10" x14ac:dyDescent="0.3">
      <c r="A19" s="1" t="s">
        <v>28</v>
      </c>
      <c r="B19" s="8">
        <v>44137</v>
      </c>
      <c r="C19" s="1" t="s">
        <v>29</v>
      </c>
      <c r="D19" s="9" t="s">
        <v>30</v>
      </c>
      <c r="E19" s="1">
        <v>20000</v>
      </c>
      <c r="F19" s="1">
        <v>339.25</v>
      </c>
      <c r="G19" s="1"/>
      <c r="H19" s="1">
        <v>10</v>
      </c>
      <c r="I19" s="1">
        <v>100</v>
      </c>
      <c r="J19" s="1">
        <f>SUM(F19:I19)</f>
        <v>449.25</v>
      </c>
    </row>
    <row r="20" spans="1:10" ht="21.6" x14ac:dyDescent="0.3">
      <c r="A20" s="2" t="s">
        <v>31</v>
      </c>
      <c r="B20" s="8">
        <v>44137</v>
      </c>
      <c r="C20" s="2" t="s">
        <v>29</v>
      </c>
      <c r="D20" s="9" t="s">
        <v>32</v>
      </c>
      <c r="E20" s="1">
        <v>14000</v>
      </c>
      <c r="F20" s="1">
        <v>230.75</v>
      </c>
      <c r="G20" s="1"/>
      <c r="H20" s="1">
        <v>7</v>
      </c>
      <c r="I20" s="1">
        <v>70</v>
      </c>
      <c r="J20" s="1">
        <f t="shared" ref="J20:J24" si="3">SUM(F20:I20)</f>
        <v>307.75</v>
      </c>
    </row>
    <row r="21" spans="1:10" ht="21.6" x14ac:dyDescent="0.3">
      <c r="A21" s="2" t="s">
        <v>33</v>
      </c>
      <c r="B21" s="8">
        <v>44137</v>
      </c>
      <c r="C21" s="1" t="s">
        <v>29</v>
      </c>
      <c r="D21" s="10" t="s">
        <v>34</v>
      </c>
      <c r="E21" s="7">
        <v>9000</v>
      </c>
      <c r="F21" s="1">
        <v>162.25</v>
      </c>
      <c r="G21" s="1"/>
      <c r="H21" s="1">
        <v>4</v>
      </c>
      <c r="I21" s="1">
        <v>40</v>
      </c>
      <c r="J21" s="1">
        <f t="shared" si="3"/>
        <v>206.25</v>
      </c>
    </row>
    <row r="22" spans="1:10" ht="21.6" x14ac:dyDescent="0.3">
      <c r="A22" s="2" t="s">
        <v>35</v>
      </c>
      <c r="B22" s="8">
        <v>44138</v>
      </c>
      <c r="C22" s="1" t="s">
        <v>29</v>
      </c>
      <c r="D22" s="10" t="s">
        <v>36</v>
      </c>
      <c r="E22" s="1">
        <v>10000</v>
      </c>
      <c r="F22" s="1">
        <v>191.75</v>
      </c>
      <c r="G22" s="1"/>
      <c r="H22" s="1">
        <v>5</v>
      </c>
      <c r="I22" s="1">
        <v>50</v>
      </c>
      <c r="J22" s="1">
        <f t="shared" si="3"/>
        <v>246.75</v>
      </c>
    </row>
    <row r="23" spans="1:10" ht="33.6" customHeight="1" x14ac:dyDescent="0.3">
      <c r="A23" s="2" t="s">
        <v>37</v>
      </c>
      <c r="B23" s="8">
        <v>44138</v>
      </c>
      <c r="C23" s="1" t="s">
        <v>29</v>
      </c>
      <c r="D23" s="10" t="s">
        <v>38</v>
      </c>
      <c r="E23" s="1">
        <v>10000</v>
      </c>
      <c r="F23" s="1">
        <v>191.75</v>
      </c>
      <c r="G23" s="1"/>
      <c r="H23" s="1">
        <v>5</v>
      </c>
      <c r="I23" s="1">
        <v>50</v>
      </c>
      <c r="J23" s="1">
        <f t="shared" si="3"/>
        <v>246.75</v>
      </c>
    </row>
    <row r="24" spans="1:10" ht="21.6" x14ac:dyDescent="0.3">
      <c r="A24" s="2" t="s">
        <v>39</v>
      </c>
      <c r="B24" s="8">
        <v>43840</v>
      </c>
      <c r="C24" s="1" t="s">
        <v>40</v>
      </c>
      <c r="D24" s="10" t="s">
        <v>41</v>
      </c>
      <c r="E24" s="1">
        <v>29000</v>
      </c>
      <c r="F24" s="1">
        <v>456</v>
      </c>
      <c r="G24" s="1"/>
      <c r="H24" s="1">
        <v>14.5</v>
      </c>
      <c r="I24" s="1">
        <v>10</v>
      </c>
      <c r="J24" s="1">
        <f t="shared" si="3"/>
        <v>480.5</v>
      </c>
    </row>
    <row r="25" spans="1:10" ht="21.6" x14ac:dyDescent="0.3">
      <c r="A25" s="2" t="s">
        <v>42</v>
      </c>
      <c r="B25" s="8">
        <v>44151</v>
      </c>
      <c r="C25" s="1" t="s">
        <v>43</v>
      </c>
      <c r="D25" s="10" t="s">
        <v>44</v>
      </c>
      <c r="E25" s="1">
        <v>15755</v>
      </c>
      <c r="F25" s="1">
        <v>276.64</v>
      </c>
      <c r="G25" s="1"/>
      <c r="H25" s="1">
        <v>7.88</v>
      </c>
      <c r="I25" s="1">
        <v>78.78</v>
      </c>
      <c r="J25" s="1">
        <f>SUM(F25:I25)</f>
        <v>363.29999999999995</v>
      </c>
    </row>
    <row r="26" spans="1:10" x14ac:dyDescent="0.3">
      <c r="A26" s="2" t="s">
        <v>45</v>
      </c>
      <c r="B26" s="8">
        <v>44159</v>
      </c>
      <c r="C26" s="1" t="s">
        <v>46</v>
      </c>
      <c r="D26" s="10" t="s">
        <v>47</v>
      </c>
      <c r="E26" s="1">
        <v>15000</v>
      </c>
      <c r="F26" s="1">
        <v>265.5</v>
      </c>
      <c r="G26" s="1"/>
      <c r="H26" s="1">
        <v>7.5</v>
      </c>
      <c r="I26" s="1">
        <v>75</v>
      </c>
      <c r="J26" s="1">
        <f>SUM(F26:I26)</f>
        <v>348</v>
      </c>
    </row>
    <row r="27" spans="1:10" ht="21.6" x14ac:dyDescent="0.3">
      <c r="A27" s="2" t="s">
        <v>48</v>
      </c>
      <c r="B27" s="8">
        <v>44164</v>
      </c>
      <c r="C27" s="1" t="s">
        <v>49</v>
      </c>
      <c r="D27" s="10" t="s">
        <v>24</v>
      </c>
      <c r="E27" s="1">
        <v>4735</v>
      </c>
      <c r="F27" s="1">
        <v>184.09</v>
      </c>
      <c r="G27" s="1"/>
      <c r="H27" s="1">
        <v>2.37</v>
      </c>
      <c r="I27" s="1">
        <v>23.68</v>
      </c>
      <c r="J27" s="1">
        <f>SUM(F27:I27)</f>
        <v>210.14000000000001</v>
      </c>
    </row>
    <row r="28" spans="1:10" ht="21.6" x14ac:dyDescent="0.3">
      <c r="A28" s="2" t="s">
        <v>50</v>
      </c>
      <c r="B28" s="8">
        <v>44165</v>
      </c>
      <c r="C28" s="1" t="s">
        <v>51</v>
      </c>
      <c r="D28" s="10" t="s">
        <v>52</v>
      </c>
      <c r="E28" s="1">
        <v>23000</v>
      </c>
      <c r="F28" s="1">
        <v>383.5</v>
      </c>
      <c r="G28" s="1"/>
      <c r="H28" s="1">
        <v>11.5</v>
      </c>
      <c r="I28" s="1">
        <v>100</v>
      </c>
      <c r="J28" s="1">
        <f>SUM(F28:I28)</f>
        <v>495</v>
      </c>
    </row>
    <row r="29" spans="1:10" ht="21.6" x14ac:dyDescent="0.3">
      <c r="A29" s="1" t="s">
        <v>13</v>
      </c>
      <c r="B29" s="6">
        <v>44175</v>
      </c>
      <c r="C29" s="1" t="s">
        <v>14</v>
      </c>
      <c r="D29" s="3" t="s">
        <v>15</v>
      </c>
      <c r="E29" s="1">
        <v>13313.74</v>
      </c>
      <c r="F29" s="1">
        <v>240.63</v>
      </c>
      <c r="G29" s="1">
        <v>156.41</v>
      </c>
      <c r="H29" s="1">
        <v>6.66</v>
      </c>
      <c r="I29" s="1">
        <v>66.56</v>
      </c>
      <c r="J29" s="1">
        <f>SUM(F29:I29)</f>
        <v>470.26</v>
      </c>
    </row>
    <row r="30" spans="1:10" ht="21.6" x14ac:dyDescent="0.3">
      <c r="A30" s="2" t="s">
        <v>16</v>
      </c>
      <c r="B30" s="6">
        <v>44176</v>
      </c>
      <c r="C30" s="1" t="s">
        <v>17</v>
      </c>
      <c r="D30" s="3" t="s">
        <v>18</v>
      </c>
      <c r="E30" s="7">
        <v>5250</v>
      </c>
      <c r="F30" s="1">
        <v>121.69</v>
      </c>
      <c r="G30" s="1"/>
      <c r="H30" s="1">
        <v>2.63</v>
      </c>
      <c r="I30" s="1">
        <v>26.31</v>
      </c>
      <c r="J30" s="1">
        <f t="shared" ref="J30:J33" si="4">SUM(F30:I30)</f>
        <v>150.63</v>
      </c>
    </row>
    <row r="31" spans="1:10" ht="21.6" x14ac:dyDescent="0.3">
      <c r="A31" s="2" t="s">
        <v>19</v>
      </c>
      <c r="B31" s="6">
        <v>44179</v>
      </c>
      <c r="C31" s="1" t="s">
        <v>20</v>
      </c>
      <c r="D31" s="3" t="s">
        <v>21</v>
      </c>
      <c r="E31" s="7">
        <v>4000</v>
      </c>
      <c r="F31" s="1">
        <v>103.25</v>
      </c>
      <c r="G31" s="1"/>
      <c r="H31" s="1">
        <v>2</v>
      </c>
      <c r="I31" s="1">
        <v>20</v>
      </c>
      <c r="J31" s="1">
        <f t="shared" si="4"/>
        <v>125.25</v>
      </c>
    </row>
    <row r="32" spans="1:10" ht="21.6" x14ac:dyDescent="0.3">
      <c r="A32" s="2" t="s">
        <v>22</v>
      </c>
      <c r="B32" s="6">
        <v>44179</v>
      </c>
      <c r="C32" s="1" t="s">
        <v>23</v>
      </c>
      <c r="D32" s="3" t="s">
        <v>24</v>
      </c>
      <c r="E32" s="1">
        <v>16200</v>
      </c>
      <c r="F32" s="1">
        <v>283.2</v>
      </c>
      <c r="G32" s="1"/>
      <c r="H32" s="1">
        <v>8.1</v>
      </c>
      <c r="I32" s="1">
        <v>81</v>
      </c>
      <c r="J32" s="1">
        <f t="shared" si="4"/>
        <v>372.3</v>
      </c>
    </row>
    <row r="33" spans="1:10" ht="21.6" x14ac:dyDescent="0.3">
      <c r="A33" s="2" t="s">
        <v>25</v>
      </c>
      <c r="B33" s="6">
        <v>44180</v>
      </c>
      <c r="C33" s="1" t="s">
        <v>26</v>
      </c>
      <c r="D33" s="3" t="s">
        <v>27</v>
      </c>
      <c r="E33" s="1">
        <v>10000</v>
      </c>
      <c r="F33" s="1">
        <v>191.75</v>
      </c>
      <c r="G33" s="1"/>
      <c r="H33" s="1">
        <v>5</v>
      </c>
      <c r="I33" s="1">
        <v>50</v>
      </c>
      <c r="J33" s="1">
        <f t="shared" si="4"/>
        <v>246.75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DA0F0-4E8B-41D5-9817-72D2DE7CF690}">
  <dimension ref="A1:Q67"/>
  <sheetViews>
    <sheetView topLeftCell="A51" workbookViewId="0">
      <selection activeCell="E67" sqref="E67"/>
    </sheetView>
  </sheetViews>
  <sheetFormatPr defaultRowHeight="14.4" x14ac:dyDescent="0.3"/>
  <cols>
    <col min="5" max="5" width="9.44140625" bestFit="1" customWidth="1"/>
  </cols>
  <sheetData>
    <row r="1" spans="1:10" x14ac:dyDescent="0.3">
      <c r="A1" s="1" t="s">
        <v>0</v>
      </c>
      <c r="B1" s="2"/>
      <c r="C1" s="2"/>
      <c r="D1" s="3"/>
      <c r="E1" s="1" t="s">
        <v>1</v>
      </c>
      <c r="F1" s="1" t="s">
        <v>0</v>
      </c>
      <c r="G1" s="1" t="s">
        <v>2</v>
      </c>
      <c r="H1" s="2"/>
      <c r="I1" s="2" t="s">
        <v>3</v>
      </c>
      <c r="J1" s="2"/>
    </row>
    <row r="2" spans="1:10" x14ac:dyDescent="0.3">
      <c r="A2" s="4" t="s">
        <v>4</v>
      </c>
      <c r="B2" s="4" t="s">
        <v>5</v>
      </c>
      <c r="C2" s="4" t="s">
        <v>6</v>
      </c>
      <c r="D2" s="5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9</v>
      </c>
      <c r="J2" s="4" t="s">
        <v>12</v>
      </c>
    </row>
    <row r="3" spans="1:10" ht="21.6" x14ac:dyDescent="0.3">
      <c r="A3" s="24" t="s">
        <v>97</v>
      </c>
      <c r="B3" s="25">
        <v>44264</v>
      </c>
      <c r="C3" s="13" t="s">
        <v>98</v>
      </c>
      <c r="D3" s="13" t="s">
        <v>99</v>
      </c>
      <c r="E3" s="26">
        <v>35000</v>
      </c>
      <c r="F3" s="26">
        <v>520.5</v>
      </c>
      <c r="G3" s="26"/>
      <c r="H3" s="26">
        <v>17.5</v>
      </c>
      <c r="I3" s="26">
        <v>100</v>
      </c>
      <c r="J3" s="27">
        <f t="shared" ref="J3:J8" si="0">SUM(F3:I3)</f>
        <v>638</v>
      </c>
    </row>
    <row r="4" spans="1:10" ht="42" x14ac:dyDescent="0.3">
      <c r="A4" s="10" t="s">
        <v>100</v>
      </c>
      <c r="B4" s="25">
        <v>44266</v>
      </c>
      <c r="C4" s="13" t="s">
        <v>101</v>
      </c>
      <c r="D4" s="13" t="s">
        <v>102</v>
      </c>
      <c r="E4" s="26">
        <v>12665</v>
      </c>
      <c r="F4" s="26">
        <v>231.06</v>
      </c>
      <c r="G4" s="26"/>
      <c r="H4" s="26">
        <v>6.33</v>
      </c>
      <c r="I4" s="26">
        <v>63.33</v>
      </c>
      <c r="J4" s="27">
        <f t="shared" si="0"/>
        <v>300.72000000000003</v>
      </c>
    </row>
    <row r="5" spans="1:10" ht="21.6" x14ac:dyDescent="0.3">
      <c r="A5" s="10" t="s">
        <v>103</v>
      </c>
      <c r="B5" s="25">
        <v>44277</v>
      </c>
      <c r="C5" s="18" t="s">
        <v>104</v>
      </c>
      <c r="D5" s="13" t="s">
        <v>105</v>
      </c>
      <c r="E5" s="26">
        <v>5000</v>
      </c>
      <c r="F5" s="26">
        <v>118</v>
      </c>
      <c r="G5" s="26"/>
      <c r="H5" s="26">
        <v>2.5</v>
      </c>
      <c r="I5" s="26">
        <v>25</v>
      </c>
      <c r="J5" s="27">
        <f t="shared" si="0"/>
        <v>145.5</v>
      </c>
    </row>
    <row r="6" spans="1:10" ht="21.6" x14ac:dyDescent="0.3">
      <c r="A6" s="10" t="s">
        <v>106</v>
      </c>
      <c r="B6" s="25">
        <v>44278</v>
      </c>
      <c r="C6" s="18" t="s">
        <v>107</v>
      </c>
      <c r="D6" s="13" t="s">
        <v>108</v>
      </c>
      <c r="E6" s="26">
        <v>15000</v>
      </c>
      <c r="F6" s="26">
        <v>265.5</v>
      </c>
      <c r="G6" s="26"/>
      <c r="H6" s="26">
        <v>7.5</v>
      </c>
      <c r="I6" s="26">
        <v>75</v>
      </c>
      <c r="J6" s="27">
        <f t="shared" si="0"/>
        <v>348</v>
      </c>
    </row>
    <row r="7" spans="1:10" ht="21.6" x14ac:dyDescent="0.3">
      <c r="A7" s="10" t="s">
        <v>109</v>
      </c>
      <c r="B7" s="25">
        <v>44285</v>
      </c>
      <c r="C7" s="18" t="s">
        <v>63</v>
      </c>
      <c r="D7" s="13" t="s">
        <v>110</v>
      </c>
      <c r="E7" s="26">
        <v>10000</v>
      </c>
      <c r="F7" s="26">
        <v>191.75</v>
      </c>
      <c r="G7" s="26"/>
      <c r="H7" s="26">
        <v>5</v>
      </c>
      <c r="I7" s="26">
        <v>50</v>
      </c>
      <c r="J7" s="27">
        <f t="shared" si="0"/>
        <v>246.75</v>
      </c>
    </row>
    <row r="8" spans="1:10" ht="21.6" x14ac:dyDescent="0.3">
      <c r="A8" s="10" t="s">
        <v>111</v>
      </c>
      <c r="B8" s="25">
        <v>44285</v>
      </c>
      <c r="C8" s="18" t="s">
        <v>63</v>
      </c>
      <c r="D8" s="18" t="s">
        <v>112</v>
      </c>
      <c r="E8" s="26">
        <v>10000</v>
      </c>
      <c r="F8" s="26">
        <v>191.75</v>
      </c>
      <c r="G8" s="26"/>
      <c r="H8" s="26">
        <v>5</v>
      </c>
      <c r="I8" s="26">
        <v>50</v>
      </c>
      <c r="J8" s="27">
        <f t="shared" si="0"/>
        <v>246.75</v>
      </c>
    </row>
    <row r="9" spans="1:10" ht="20.399999999999999" x14ac:dyDescent="0.3">
      <c r="A9" s="19" t="s">
        <v>113</v>
      </c>
      <c r="B9" s="8">
        <v>44293</v>
      </c>
      <c r="C9" s="20" t="s">
        <v>114</v>
      </c>
      <c r="D9" s="19" t="s">
        <v>115</v>
      </c>
      <c r="E9" s="19">
        <v>10000</v>
      </c>
      <c r="F9" s="19">
        <v>191.75</v>
      </c>
      <c r="G9" s="19"/>
      <c r="H9" s="19">
        <v>5</v>
      </c>
      <c r="I9" s="19">
        <v>50</v>
      </c>
      <c r="J9" s="19">
        <f>SUM(F9:I9)</f>
        <v>246.75</v>
      </c>
    </row>
    <row r="10" spans="1:10" ht="20.399999999999999" x14ac:dyDescent="0.3">
      <c r="A10" s="28" t="s">
        <v>116</v>
      </c>
      <c r="B10" s="8">
        <v>44293</v>
      </c>
      <c r="C10" s="29" t="s">
        <v>117</v>
      </c>
      <c r="D10" s="19" t="s">
        <v>118</v>
      </c>
      <c r="E10" s="19">
        <v>23702</v>
      </c>
      <c r="F10" s="19">
        <v>384.57</v>
      </c>
      <c r="G10" s="19"/>
      <c r="H10" s="19">
        <v>11.54</v>
      </c>
      <c r="I10" s="19">
        <v>100</v>
      </c>
      <c r="J10" s="19">
        <f t="shared" ref="J10:J18" si="1">SUM(F10:I10)</f>
        <v>496.11</v>
      </c>
    </row>
    <row r="11" spans="1:10" x14ac:dyDescent="0.3">
      <c r="A11" s="28" t="s">
        <v>119</v>
      </c>
      <c r="B11" s="8">
        <v>44293</v>
      </c>
      <c r="C11" s="29" t="s">
        <v>120</v>
      </c>
      <c r="D11" s="19" t="s">
        <v>121</v>
      </c>
      <c r="E11" s="19">
        <v>35806</v>
      </c>
      <c r="F11" s="19">
        <v>529.16</v>
      </c>
      <c r="G11" s="19"/>
      <c r="H11" s="19">
        <v>17.899999999999999</v>
      </c>
      <c r="I11" s="19">
        <v>100</v>
      </c>
      <c r="J11" s="19">
        <f t="shared" si="1"/>
        <v>647.05999999999995</v>
      </c>
    </row>
    <row r="12" spans="1:10" x14ac:dyDescent="0.3">
      <c r="A12" s="28" t="s">
        <v>122</v>
      </c>
      <c r="B12" s="8">
        <v>44298</v>
      </c>
      <c r="C12" s="29" t="s">
        <v>120</v>
      </c>
      <c r="D12" s="19" t="s">
        <v>123</v>
      </c>
      <c r="E12" s="19">
        <v>18689.14</v>
      </c>
      <c r="F12" s="19">
        <v>322.57</v>
      </c>
      <c r="G12" s="19"/>
      <c r="H12" s="19">
        <v>9.43</v>
      </c>
      <c r="I12" s="19">
        <v>94.35</v>
      </c>
      <c r="J12" s="19">
        <f t="shared" si="1"/>
        <v>426.35</v>
      </c>
    </row>
    <row r="13" spans="1:10" ht="20.399999999999999" x14ac:dyDescent="0.3">
      <c r="A13" s="28" t="s">
        <v>124</v>
      </c>
      <c r="B13" s="8">
        <v>44301</v>
      </c>
      <c r="C13" s="29" t="s">
        <v>125</v>
      </c>
      <c r="D13" s="19" t="s">
        <v>126</v>
      </c>
      <c r="E13" s="19">
        <v>129808</v>
      </c>
      <c r="F13" s="19">
        <v>1235.5999999999999</v>
      </c>
      <c r="G13" s="19"/>
      <c r="H13" s="19">
        <v>64.900000000000006</v>
      </c>
      <c r="I13" s="19">
        <v>200</v>
      </c>
      <c r="J13" s="19">
        <f t="shared" si="1"/>
        <v>1500.5</v>
      </c>
    </row>
    <row r="14" spans="1:10" x14ac:dyDescent="0.3">
      <c r="A14" s="28" t="s">
        <v>127</v>
      </c>
      <c r="B14" s="8">
        <v>44301</v>
      </c>
      <c r="C14" s="29" t="s">
        <v>120</v>
      </c>
      <c r="D14" s="19" t="s">
        <v>128</v>
      </c>
      <c r="E14" s="19">
        <v>23986.2</v>
      </c>
      <c r="F14" s="19">
        <v>398.04</v>
      </c>
      <c r="G14" s="19"/>
      <c r="H14" s="19">
        <v>11.99</v>
      </c>
      <c r="I14" s="19">
        <v>100</v>
      </c>
      <c r="J14" s="19">
        <f t="shared" si="1"/>
        <v>510.03000000000003</v>
      </c>
    </row>
    <row r="15" spans="1:10" x14ac:dyDescent="0.3">
      <c r="A15" s="28" t="s">
        <v>129</v>
      </c>
      <c r="B15" s="8">
        <v>44307</v>
      </c>
      <c r="C15" s="29" t="s">
        <v>130</v>
      </c>
      <c r="D15" s="19" t="s">
        <v>131</v>
      </c>
      <c r="E15" s="19">
        <v>20000</v>
      </c>
      <c r="F15" s="19">
        <v>339.25</v>
      </c>
      <c r="G15" s="19">
        <v>220.51</v>
      </c>
      <c r="H15" s="19">
        <v>10</v>
      </c>
      <c r="I15" s="19">
        <v>100</v>
      </c>
      <c r="J15" s="19">
        <f t="shared" si="1"/>
        <v>669.76</v>
      </c>
    </row>
    <row r="16" spans="1:10" ht="20.399999999999999" x14ac:dyDescent="0.3">
      <c r="A16" s="28" t="s">
        <v>132</v>
      </c>
      <c r="B16" s="8">
        <v>44309</v>
      </c>
      <c r="C16" s="29" t="s">
        <v>133</v>
      </c>
      <c r="D16" s="19" t="s">
        <v>134</v>
      </c>
      <c r="E16" s="19">
        <v>20000</v>
      </c>
      <c r="F16" s="19">
        <v>339.25</v>
      </c>
      <c r="G16" s="19"/>
      <c r="H16" s="19">
        <v>10</v>
      </c>
      <c r="I16" s="19">
        <v>100</v>
      </c>
      <c r="J16" s="19">
        <f t="shared" si="1"/>
        <v>449.25</v>
      </c>
    </row>
    <row r="17" spans="1:10" ht="30.6" x14ac:dyDescent="0.3">
      <c r="A17" s="28" t="s">
        <v>135</v>
      </c>
      <c r="B17" s="8">
        <v>44314</v>
      </c>
      <c r="C17" s="29" t="s">
        <v>136</v>
      </c>
      <c r="D17" s="19" t="s">
        <v>137</v>
      </c>
      <c r="E17" s="19">
        <v>7475</v>
      </c>
      <c r="F17" s="19">
        <v>154.51</v>
      </c>
      <c r="G17" s="19"/>
      <c r="H17" s="19">
        <v>3.74</v>
      </c>
      <c r="I17" s="19">
        <v>37.380000000000003</v>
      </c>
      <c r="J17" s="19">
        <f t="shared" si="1"/>
        <v>195.63</v>
      </c>
    </row>
    <row r="18" spans="1:10" ht="20.399999999999999" x14ac:dyDescent="0.3">
      <c r="A18" s="28" t="s">
        <v>138</v>
      </c>
      <c r="B18" s="8">
        <v>44314</v>
      </c>
      <c r="C18" s="29" t="s">
        <v>139</v>
      </c>
      <c r="D18" s="19" t="s">
        <v>140</v>
      </c>
      <c r="E18" s="19">
        <v>15000</v>
      </c>
      <c r="F18" s="19">
        <v>265.5</v>
      </c>
      <c r="G18" s="19"/>
      <c r="H18" s="19">
        <v>7.5</v>
      </c>
      <c r="I18" s="19">
        <v>75</v>
      </c>
      <c r="J18" s="19">
        <f t="shared" si="1"/>
        <v>348</v>
      </c>
    </row>
    <row r="19" spans="1:10" ht="21.6" x14ac:dyDescent="0.3">
      <c r="A19" s="30" t="s">
        <v>141</v>
      </c>
      <c r="B19" s="17">
        <v>44320</v>
      </c>
      <c r="C19" s="30" t="s">
        <v>17</v>
      </c>
      <c r="D19" s="30" t="s">
        <v>142</v>
      </c>
      <c r="E19" s="31">
        <v>6200</v>
      </c>
      <c r="F19" s="31">
        <v>135.69999999999999</v>
      </c>
      <c r="G19" s="31"/>
      <c r="H19" s="9">
        <v>3.1</v>
      </c>
      <c r="I19" s="31">
        <v>31</v>
      </c>
      <c r="J19" s="31">
        <v>169.8</v>
      </c>
    </row>
    <row r="20" spans="1:10" ht="21.6" x14ac:dyDescent="0.3">
      <c r="A20" s="30" t="s">
        <v>143</v>
      </c>
      <c r="B20" s="17">
        <v>44321</v>
      </c>
      <c r="C20" s="30" t="s">
        <v>144</v>
      </c>
      <c r="D20" s="30" t="s">
        <v>145</v>
      </c>
      <c r="E20" s="31">
        <v>10000</v>
      </c>
      <c r="F20" s="31">
        <v>191.75</v>
      </c>
      <c r="G20" s="31"/>
      <c r="H20" s="9">
        <v>5</v>
      </c>
      <c r="I20" s="31">
        <v>50</v>
      </c>
      <c r="J20" s="31">
        <v>246.75</v>
      </c>
    </row>
    <row r="21" spans="1:10" ht="21.6" x14ac:dyDescent="0.3">
      <c r="A21" s="30" t="s">
        <v>146</v>
      </c>
      <c r="B21" s="17">
        <v>44321</v>
      </c>
      <c r="C21" s="30" t="s">
        <v>114</v>
      </c>
      <c r="D21" s="30" t="s">
        <v>147</v>
      </c>
      <c r="E21" s="31">
        <v>9100</v>
      </c>
      <c r="F21" s="31">
        <v>178.48</v>
      </c>
      <c r="G21" s="31"/>
      <c r="H21" s="9">
        <v>4.55</v>
      </c>
      <c r="I21" s="31">
        <v>45.5</v>
      </c>
      <c r="J21" s="31">
        <v>228.53</v>
      </c>
    </row>
    <row r="22" spans="1:10" ht="21.6" x14ac:dyDescent="0.3">
      <c r="A22" s="30" t="s">
        <v>148</v>
      </c>
      <c r="B22" s="17">
        <v>44321</v>
      </c>
      <c r="C22" s="30" t="s">
        <v>114</v>
      </c>
      <c r="D22" s="30" t="s">
        <v>149</v>
      </c>
      <c r="E22" s="31">
        <v>3000</v>
      </c>
      <c r="F22" s="31">
        <v>88.5</v>
      </c>
      <c r="G22" s="31"/>
      <c r="H22" s="9">
        <v>1.5</v>
      </c>
      <c r="I22" s="31">
        <v>15</v>
      </c>
      <c r="J22" s="31">
        <v>105</v>
      </c>
    </row>
    <row r="23" spans="1:10" ht="21.6" x14ac:dyDescent="0.3">
      <c r="A23" s="30" t="s">
        <v>150</v>
      </c>
      <c r="B23" s="17">
        <v>44321</v>
      </c>
      <c r="C23" s="30" t="s">
        <v>151</v>
      </c>
      <c r="D23" s="30" t="s">
        <v>152</v>
      </c>
      <c r="E23" s="31">
        <v>11614</v>
      </c>
      <c r="F23" s="31">
        <v>215.56</v>
      </c>
      <c r="G23" s="31"/>
      <c r="H23" s="9">
        <v>5.81</v>
      </c>
      <c r="I23" s="31">
        <v>58.07</v>
      </c>
      <c r="J23" s="31">
        <v>279.43</v>
      </c>
    </row>
    <row r="24" spans="1:10" ht="21.6" x14ac:dyDescent="0.3">
      <c r="A24" s="30" t="s">
        <v>153</v>
      </c>
      <c r="B24" s="17">
        <v>44321</v>
      </c>
      <c r="C24" s="33" t="s">
        <v>154</v>
      </c>
      <c r="D24" s="33" t="s">
        <v>155</v>
      </c>
      <c r="E24" s="31">
        <v>13834</v>
      </c>
      <c r="F24" s="31">
        <v>248.3</v>
      </c>
      <c r="G24" s="31"/>
      <c r="H24" s="9">
        <v>6.92</v>
      </c>
      <c r="I24" s="31">
        <v>69.17</v>
      </c>
      <c r="J24" s="31">
        <v>324.39</v>
      </c>
    </row>
    <row r="25" spans="1:10" ht="21.6" x14ac:dyDescent="0.3">
      <c r="A25" s="30" t="s">
        <v>156</v>
      </c>
      <c r="B25" s="17">
        <v>44322</v>
      </c>
      <c r="C25" s="33" t="s">
        <v>17</v>
      </c>
      <c r="D25" s="33" t="s">
        <v>157</v>
      </c>
      <c r="E25" s="31">
        <v>6415</v>
      </c>
      <c r="F25" s="31">
        <v>138.87</v>
      </c>
      <c r="G25" s="31"/>
      <c r="H25" s="9">
        <v>3.21</v>
      </c>
      <c r="I25" s="31"/>
      <c r="J25" s="31">
        <v>142.08000000000001</v>
      </c>
    </row>
    <row r="26" spans="1:10" ht="21.6" x14ac:dyDescent="0.3">
      <c r="A26" s="30" t="s">
        <v>158</v>
      </c>
      <c r="B26" s="17">
        <v>44326</v>
      </c>
      <c r="C26" s="33" t="s">
        <v>154</v>
      </c>
      <c r="D26" s="33" t="s">
        <v>155</v>
      </c>
      <c r="E26" s="31">
        <v>13834</v>
      </c>
      <c r="F26" s="31">
        <v>317.48</v>
      </c>
      <c r="G26" s="31"/>
      <c r="H26" s="9">
        <v>6.92</v>
      </c>
      <c r="I26" s="31"/>
      <c r="J26" s="31">
        <v>324.39</v>
      </c>
    </row>
    <row r="27" spans="1:10" ht="31.8" x14ac:dyDescent="0.3">
      <c r="A27" s="30" t="s">
        <v>159</v>
      </c>
      <c r="B27" s="17">
        <v>44336</v>
      </c>
      <c r="C27" s="33" t="s">
        <v>160</v>
      </c>
      <c r="D27" s="34" t="s">
        <v>161</v>
      </c>
      <c r="E27" s="31">
        <v>133810</v>
      </c>
      <c r="F27" s="31">
        <v>1459.61</v>
      </c>
      <c r="G27" s="31"/>
      <c r="H27" s="9">
        <v>66.91</v>
      </c>
      <c r="I27" s="31"/>
      <c r="J27" s="31">
        <v>1526.52</v>
      </c>
    </row>
    <row r="28" spans="1:10" x14ac:dyDescent="0.3">
      <c r="A28" s="30" t="s">
        <v>162</v>
      </c>
      <c r="B28" s="17">
        <v>44335</v>
      </c>
      <c r="C28" s="33" t="s">
        <v>120</v>
      </c>
      <c r="D28" s="34" t="s">
        <v>163</v>
      </c>
      <c r="E28" s="31">
        <v>27944.49</v>
      </c>
      <c r="F28" s="31">
        <v>544.65</v>
      </c>
      <c r="G28" s="31"/>
      <c r="H28" s="9">
        <v>13.97</v>
      </c>
      <c r="I28" s="31"/>
      <c r="J28" s="31">
        <v>558.63</v>
      </c>
    </row>
    <row r="29" spans="1:10" ht="21.6" x14ac:dyDescent="0.3">
      <c r="A29" s="30" t="s">
        <v>164</v>
      </c>
      <c r="B29" s="17">
        <v>44342</v>
      </c>
      <c r="C29" s="33" t="s">
        <v>165</v>
      </c>
      <c r="D29" s="33" t="s">
        <v>166</v>
      </c>
      <c r="E29" s="31">
        <v>22950</v>
      </c>
      <c r="F29" s="31">
        <v>382.76</v>
      </c>
      <c r="G29" s="31"/>
      <c r="H29" s="9">
        <v>11.48</v>
      </c>
      <c r="I29" s="31">
        <v>100</v>
      </c>
      <c r="J29" s="31">
        <v>494.24</v>
      </c>
    </row>
    <row r="30" spans="1:10" ht="21.6" x14ac:dyDescent="0.3">
      <c r="A30" s="33" t="s">
        <v>167</v>
      </c>
      <c r="B30" s="17">
        <v>44342</v>
      </c>
      <c r="C30" s="33" t="s">
        <v>168</v>
      </c>
      <c r="D30" s="33" t="s">
        <v>169</v>
      </c>
      <c r="E30" s="31">
        <v>14000</v>
      </c>
      <c r="F30" s="31">
        <v>320.75</v>
      </c>
      <c r="G30" s="35"/>
      <c r="H30" s="31">
        <v>7</v>
      </c>
      <c r="I30" s="31"/>
      <c r="J30" s="31">
        <v>327.75</v>
      </c>
    </row>
    <row r="31" spans="1:10" ht="21.6" x14ac:dyDescent="0.3">
      <c r="A31" s="33" t="s">
        <v>170</v>
      </c>
      <c r="B31" s="17">
        <v>44342</v>
      </c>
      <c r="C31" s="33" t="s">
        <v>26</v>
      </c>
      <c r="D31" s="30" t="s">
        <v>171</v>
      </c>
      <c r="E31" s="31">
        <v>12000</v>
      </c>
      <c r="F31" s="31">
        <v>281.25</v>
      </c>
      <c r="G31" s="35"/>
      <c r="H31" s="31">
        <v>6.1</v>
      </c>
      <c r="I31" s="31"/>
      <c r="J31" s="31">
        <v>287.25</v>
      </c>
    </row>
    <row r="32" spans="1:10" ht="21.6" x14ac:dyDescent="0.3">
      <c r="A32" s="9" t="s">
        <v>172</v>
      </c>
      <c r="B32" s="24">
        <v>44349</v>
      </c>
      <c r="C32" s="3" t="s">
        <v>173</v>
      </c>
      <c r="D32" s="3" t="s">
        <v>174</v>
      </c>
      <c r="E32" s="9">
        <v>16300</v>
      </c>
      <c r="F32" s="9">
        <v>284.68</v>
      </c>
      <c r="G32" s="9">
        <v>6386</v>
      </c>
      <c r="H32" s="9">
        <v>8.15</v>
      </c>
      <c r="I32" s="9">
        <v>81.5</v>
      </c>
      <c r="J32" s="9">
        <v>374.33</v>
      </c>
    </row>
    <row r="33" spans="1:10" ht="21.6" x14ac:dyDescent="0.3">
      <c r="A33" s="9" t="s">
        <v>175</v>
      </c>
      <c r="B33" s="24">
        <v>44350</v>
      </c>
      <c r="C33" s="3" t="s">
        <v>176</v>
      </c>
      <c r="D33" s="3" t="s">
        <v>177</v>
      </c>
      <c r="E33" s="9">
        <v>34900</v>
      </c>
      <c r="F33" s="9">
        <v>520.5</v>
      </c>
      <c r="G33" s="9">
        <v>338.33</v>
      </c>
      <c r="H33" s="9">
        <v>17.5</v>
      </c>
      <c r="I33" s="9"/>
      <c r="J33" s="9">
        <v>876.33</v>
      </c>
    </row>
    <row r="34" spans="1:10" ht="21.6" x14ac:dyDescent="0.3">
      <c r="A34" s="10" t="s">
        <v>178</v>
      </c>
      <c r="B34" s="24">
        <v>44356</v>
      </c>
      <c r="C34" s="3" t="s">
        <v>179</v>
      </c>
      <c r="D34" s="3" t="s">
        <v>180</v>
      </c>
      <c r="E34" s="36">
        <v>19000</v>
      </c>
      <c r="F34" s="9"/>
      <c r="G34" s="9"/>
      <c r="H34" s="9">
        <v>9.5</v>
      </c>
      <c r="I34" s="9">
        <v>95</v>
      </c>
      <c r="J34" s="9">
        <v>429</v>
      </c>
    </row>
    <row r="35" spans="1:10" ht="31.8" x14ac:dyDescent="0.3">
      <c r="A35" s="10" t="s">
        <v>181</v>
      </c>
      <c r="B35" s="24">
        <v>44356</v>
      </c>
      <c r="C35" s="3" t="s">
        <v>182</v>
      </c>
      <c r="D35" s="3" t="s">
        <v>183</v>
      </c>
      <c r="E35" s="36">
        <v>15000</v>
      </c>
      <c r="F35" s="9">
        <v>265.5</v>
      </c>
      <c r="G35" s="9"/>
      <c r="H35" s="9">
        <v>7.5</v>
      </c>
      <c r="I35" s="9">
        <v>75</v>
      </c>
      <c r="J35" s="9">
        <v>696</v>
      </c>
    </row>
    <row r="36" spans="1:10" ht="21.6" x14ac:dyDescent="0.3">
      <c r="A36" s="10" t="s">
        <v>184</v>
      </c>
      <c r="B36" s="24">
        <v>44362</v>
      </c>
      <c r="C36" s="3" t="s">
        <v>185</v>
      </c>
      <c r="D36" s="3" t="s">
        <v>186</v>
      </c>
      <c r="E36" s="36">
        <v>10100</v>
      </c>
      <c r="F36" s="9">
        <v>193.23</v>
      </c>
      <c r="G36" s="37"/>
      <c r="H36" s="9">
        <v>5.05</v>
      </c>
      <c r="I36" s="9">
        <v>50.5</v>
      </c>
      <c r="J36" s="9">
        <v>256.24</v>
      </c>
    </row>
    <row r="37" spans="1:10" ht="21.6" x14ac:dyDescent="0.3">
      <c r="A37" s="10" t="s">
        <v>187</v>
      </c>
      <c r="B37" s="24">
        <v>44363</v>
      </c>
      <c r="C37" s="3" t="s">
        <v>188</v>
      </c>
      <c r="D37" s="3" t="s">
        <v>189</v>
      </c>
      <c r="E37" s="36">
        <v>12750</v>
      </c>
      <c r="F37" s="9">
        <v>232.31</v>
      </c>
      <c r="G37" s="9"/>
      <c r="H37" s="9">
        <v>6.38</v>
      </c>
      <c r="I37" s="9">
        <v>63.75</v>
      </c>
      <c r="J37" s="9">
        <v>302.44</v>
      </c>
    </row>
    <row r="38" spans="1:10" ht="21.6" x14ac:dyDescent="0.3">
      <c r="A38" s="10" t="s">
        <v>190</v>
      </c>
      <c r="B38" s="24">
        <v>44363</v>
      </c>
      <c r="C38" s="3" t="s">
        <v>191</v>
      </c>
      <c r="D38" s="3" t="s">
        <v>192</v>
      </c>
      <c r="E38" s="36">
        <v>10000</v>
      </c>
      <c r="F38" s="36">
        <v>191.75</v>
      </c>
      <c r="G38" s="9"/>
      <c r="H38" s="9">
        <v>5</v>
      </c>
      <c r="I38" s="9">
        <v>50</v>
      </c>
      <c r="J38" s="9">
        <v>246.76</v>
      </c>
    </row>
    <row r="39" spans="1:10" ht="21.6" x14ac:dyDescent="0.3">
      <c r="A39" s="10" t="s">
        <v>193</v>
      </c>
      <c r="B39" s="24">
        <v>44371</v>
      </c>
      <c r="C39" s="3" t="s">
        <v>194</v>
      </c>
      <c r="D39" s="3" t="s">
        <v>195</v>
      </c>
      <c r="E39" s="36">
        <v>25220.58</v>
      </c>
      <c r="F39" s="9">
        <v>423.75</v>
      </c>
      <c r="G39" s="9">
        <v>275.44</v>
      </c>
      <c r="H39" s="9">
        <v>13</v>
      </c>
      <c r="I39" s="9">
        <v>100</v>
      </c>
      <c r="J39" s="9">
        <v>812.19</v>
      </c>
    </row>
    <row r="40" spans="1:10" ht="21.6" x14ac:dyDescent="0.3">
      <c r="A40" s="10" t="s">
        <v>196</v>
      </c>
      <c r="B40" s="24">
        <v>44376</v>
      </c>
      <c r="C40" s="3" t="s">
        <v>197</v>
      </c>
      <c r="D40" s="3" t="s">
        <v>198</v>
      </c>
      <c r="E40" s="36">
        <v>6575</v>
      </c>
      <c r="F40" s="9">
        <v>141.22999999999999</v>
      </c>
      <c r="G40" s="9"/>
      <c r="H40" s="9">
        <v>3.29</v>
      </c>
      <c r="I40" s="9">
        <v>32.880000000000003</v>
      </c>
      <c r="J40" s="9">
        <v>182.71</v>
      </c>
    </row>
    <row r="41" spans="1:10" ht="21.6" x14ac:dyDescent="0.3">
      <c r="A41" s="10" t="s">
        <v>199</v>
      </c>
      <c r="B41" s="24">
        <v>44377</v>
      </c>
      <c r="C41" s="3" t="s">
        <v>200</v>
      </c>
      <c r="D41" s="3" t="s">
        <v>201</v>
      </c>
      <c r="E41" s="36">
        <v>3000</v>
      </c>
      <c r="F41" s="9">
        <v>88.5</v>
      </c>
      <c r="G41" s="9"/>
      <c r="H41" s="9">
        <v>1.5</v>
      </c>
      <c r="I41" s="9">
        <v>15</v>
      </c>
      <c r="J41" s="9">
        <v>105</v>
      </c>
    </row>
    <row r="42" spans="1:10" ht="21.6" x14ac:dyDescent="0.3">
      <c r="A42" s="43" t="s">
        <v>202</v>
      </c>
      <c r="B42" s="44">
        <v>44389</v>
      </c>
      <c r="C42" s="45" t="s">
        <v>17</v>
      </c>
      <c r="D42" s="45" t="s">
        <v>203</v>
      </c>
      <c r="E42" s="46">
        <v>5100</v>
      </c>
      <c r="F42" s="46" t="s">
        <v>204</v>
      </c>
      <c r="G42" s="46" t="s">
        <v>205</v>
      </c>
      <c r="H42" s="46">
        <v>2.5499999999999998</v>
      </c>
      <c r="I42" s="46">
        <v>25.5</v>
      </c>
      <c r="J42" s="46">
        <v>295.06</v>
      </c>
    </row>
    <row r="43" spans="1:10" ht="21.6" x14ac:dyDescent="0.3">
      <c r="A43" s="43" t="s">
        <v>206</v>
      </c>
      <c r="B43" s="44">
        <v>44389</v>
      </c>
      <c r="C43" s="45" t="s">
        <v>17</v>
      </c>
      <c r="D43" s="45" t="s">
        <v>207</v>
      </c>
      <c r="E43" s="46">
        <v>4800</v>
      </c>
      <c r="F43" s="46">
        <v>115.05</v>
      </c>
      <c r="G43" s="46" t="s">
        <v>205</v>
      </c>
      <c r="H43" s="46">
        <v>2.4</v>
      </c>
      <c r="I43" s="46">
        <v>24</v>
      </c>
      <c r="J43" s="46">
        <v>291.39</v>
      </c>
    </row>
    <row r="44" spans="1:10" ht="21.6" x14ac:dyDescent="0.3">
      <c r="A44" s="45" t="s">
        <v>208</v>
      </c>
      <c r="B44" s="44">
        <v>44396</v>
      </c>
      <c r="C44" s="45" t="s">
        <v>209</v>
      </c>
      <c r="D44" s="45" t="s">
        <v>210</v>
      </c>
      <c r="E44" s="46">
        <v>11000</v>
      </c>
      <c r="F44" s="46">
        <v>206.5</v>
      </c>
      <c r="G44" s="46"/>
      <c r="H44" s="46">
        <v>5.5</v>
      </c>
      <c r="I44" s="46" t="s">
        <v>211</v>
      </c>
      <c r="J44" s="46">
        <v>267</v>
      </c>
    </row>
    <row r="45" spans="1:10" ht="21.6" x14ac:dyDescent="0.3">
      <c r="A45" s="43" t="s">
        <v>212</v>
      </c>
      <c r="B45" s="44">
        <v>44397</v>
      </c>
      <c r="C45" s="43" t="s">
        <v>213</v>
      </c>
      <c r="D45" s="43" t="s">
        <v>214</v>
      </c>
      <c r="E45" s="46">
        <v>9000</v>
      </c>
      <c r="F45" s="46">
        <v>177</v>
      </c>
      <c r="G45" s="46"/>
      <c r="H45" s="46">
        <v>4.5</v>
      </c>
      <c r="I45" s="46">
        <v>45</v>
      </c>
      <c r="J45" s="46">
        <v>226.5</v>
      </c>
    </row>
    <row r="46" spans="1:10" ht="21.6" x14ac:dyDescent="0.3">
      <c r="A46" s="47" t="s">
        <v>215</v>
      </c>
      <c r="B46" s="48">
        <v>44397</v>
      </c>
      <c r="C46" s="43" t="s">
        <v>17</v>
      </c>
      <c r="D46" s="45" t="s">
        <v>216</v>
      </c>
      <c r="E46" s="49">
        <v>7500</v>
      </c>
      <c r="F46" s="49">
        <v>154.88</v>
      </c>
      <c r="G46" s="49"/>
      <c r="H46" s="49">
        <v>3.76</v>
      </c>
      <c r="I46" s="49">
        <v>37.5</v>
      </c>
      <c r="J46" s="49">
        <v>196.13</v>
      </c>
    </row>
    <row r="47" spans="1:10" ht="21.6" x14ac:dyDescent="0.3">
      <c r="A47" s="47" t="s">
        <v>217</v>
      </c>
      <c r="B47" s="48">
        <v>44406</v>
      </c>
      <c r="C47" s="43" t="s">
        <v>218</v>
      </c>
      <c r="D47" s="45" t="s">
        <v>219</v>
      </c>
      <c r="E47" s="16">
        <v>9000</v>
      </c>
      <c r="F47" s="49">
        <v>177</v>
      </c>
      <c r="G47" s="49"/>
      <c r="H47" s="49">
        <v>4.5</v>
      </c>
      <c r="I47" s="49">
        <v>45</v>
      </c>
      <c r="J47" s="49">
        <v>226.5</v>
      </c>
    </row>
    <row r="48" spans="1:10" ht="21.6" x14ac:dyDescent="0.3">
      <c r="A48" s="2" t="s">
        <v>220</v>
      </c>
      <c r="B48" s="6">
        <v>44406</v>
      </c>
      <c r="C48" s="9" t="s">
        <v>17</v>
      </c>
      <c r="D48" s="10" t="s">
        <v>221</v>
      </c>
      <c r="E48" s="1">
        <v>9600</v>
      </c>
      <c r="F48" s="7">
        <v>185.85</v>
      </c>
      <c r="G48" s="7"/>
      <c r="H48" s="7">
        <v>4.8</v>
      </c>
      <c r="I48" s="7">
        <v>48</v>
      </c>
      <c r="J48" s="7">
        <v>238.65</v>
      </c>
    </row>
    <row r="49" spans="1:17" ht="21.6" x14ac:dyDescent="0.3">
      <c r="A49" s="9" t="s">
        <v>222</v>
      </c>
      <c r="B49" s="24">
        <v>44413</v>
      </c>
      <c r="C49" s="9" t="s">
        <v>17</v>
      </c>
      <c r="D49" s="9" t="s">
        <v>223</v>
      </c>
      <c r="E49" s="9">
        <v>4200</v>
      </c>
      <c r="F49" s="9">
        <v>106.2</v>
      </c>
      <c r="G49" s="9"/>
      <c r="H49" s="9">
        <v>2.1</v>
      </c>
      <c r="I49" s="9">
        <v>21</v>
      </c>
      <c r="J49" s="9">
        <v>129.30000000000001</v>
      </c>
    </row>
    <row r="50" spans="1:17" ht="21.6" x14ac:dyDescent="0.3">
      <c r="A50" s="10" t="s">
        <v>224</v>
      </c>
      <c r="B50" s="24">
        <v>44413</v>
      </c>
      <c r="C50" s="10" t="s">
        <v>225</v>
      </c>
      <c r="D50" s="9" t="s">
        <v>226</v>
      </c>
      <c r="E50" s="9">
        <v>7891</v>
      </c>
      <c r="F50" s="9">
        <v>160.63999999999999</v>
      </c>
      <c r="G50" s="9"/>
      <c r="H50" s="9">
        <v>3.95</v>
      </c>
      <c r="I50" s="9">
        <v>39.46</v>
      </c>
      <c r="J50" s="9">
        <v>204.05</v>
      </c>
    </row>
    <row r="51" spans="1:17" ht="21.6" x14ac:dyDescent="0.3">
      <c r="A51" s="10" t="s">
        <v>227</v>
      </c>
      <c r="B51" s="24">
        <v>44417</v>
      </c>
      <c r="C51" s="9" t="s">
        <v>228</v>
      </c>
      <c r="D51" s="10" t="s">
        <v>229</v>
      </c>
      <c r="E51" s="36">
        <v>18000</v>
      </c>
      <c r="F51" s="9">
        <v>309.75</v>
      </c>
      <c r="G51" s="9"/>
      <c r="H51" s="9">
        <v>9</v>
      </c>
      <c r="I51" s="9">
        <v>90</v>
      </c>
      <c r="J51" s="9">
        <v>408.75</v>
      </c>
      <c r="K51" s="38"/>
      <c r="L51" s="38"/>
      <c r="M51" s="12"/>
      <c r="N51" s="39"/>
      <c r="O51" s="40"/>
      <c r="P51" s="12"/>
      <c r="Q51" s="12"/>
    </row>
    <row r="52" spans="1:17" ht="21.6" x14ac:dyDescent="0.3">
      <c r="A52" s="10" t="s">
        <v>230</v>
      </c>
      <c r="B52" s="24">
        <v>44426</v>
      </c>
      <c r="C52" s="9" t="s">
        <v>194</v>
      </c>
      <c r="D52" s="10" t="s">
        <v>231</v>
      </c>
      <c r="E52" s="9">
        <v>38937.599999999999</v>
      </c>
      <c r="F52" s="9">
        <v>562.83000000000004</v>
      </c>
      <c r="G52" s="9">
        <v>365.84</v>
      </c>
      <c r="H52" s="9">
        <v>19.47</v>
      </c>
      <c r="I52" s="9">
        <v>200</v>
      </c>
      <c r="J52" s="9">
        <v>1148.1400000000001</v>
      </c>
    </row>
    <row r="53" spans="1:17" ht="31.8" x14ac:dyDescent="0.3">
      <c r="A53" s="10" t="s">
        <v>232</v>
      </c>
      <c r="B53" s="24">
        <v>44427</v>
      </c>
      <c r="C53" s="9" t="s">
        <v>233</v>
      </c>
      <c r="D53" s="10" t="s">
        <v>234</v>
      </c>
      <c r="E53" s="9">
        <v>15387</v>
      </c>
      <c r="F53" s="9">
        <v>271.20999999999998</v>
      </c>
      <c r="G53" s="9"/>
      <c r="H53" s="9">
        <v>7.69</v>
      </c>
      <c r="I53" s="9">
        <v>76.94</v>
      </c>
      <c r="J53" s="9">
        <v>355.84</v>
      </c>
    </row>
    <row r="54" spans="1:17" ht="21.6" x14ac:dyDescent="0.3">
      <c r="A54" s="2" t="s">
        <v>235</v>
      </c>
      <c r="B54" s="6">
        <v>44448</v>
      </c>
      <c r="C54" s="15" t="s">
        <v>236</v>
      </c>
      <c r="D54" s="10" t="s">
        <v>237</v>
      </c>
      <c r="E54" s="41">
        <v>7000</v>
      </c>
      <c r="F54" s="42">
        <v>147.5</v>
      </c>
      <c r="G54" s="42"/>
      <c r="H54" s="42">
        <v>3.5</v>
      </c>
      <c r="I54" s="42">
        <v>35</v>
      </c>
      <c r="J54" s="42">
        <f t="shared" ref="J54" si="2">SUM(F54:I54)</f>
        <v>186</v>
      </c>
    </row>
    <row r="55" spans="1:17" x14ac:dyDescent="0.3">
      <c r="A55" s="2" t="s">
        <v>238</v>
      </c>
      <c r="B55" s="6">
        <v>44456</v>
      </c>
      <c r="C55" s="15" t="s">
        <v>239</v>
      </c>
      <c r="D55" s="10" t="s">
        <v>240</v>
      </c>
      <c r="E55" s="42">
        <v>15300</v>
      </c>
      <c r="F55" s="42">
        <v>269.93</v>
      </c>
      <c r="G55" s="42"/>
      <c r="H55" s="42">
        <v>7.65</v>
      </c>
      <c r="I55" s="42">
        <v>76.5</v>
      </c>
      <c r="J55" s="42">
        <f t="shared" ref="J55:J57" si="3">SUM(F55:I55)</f>
        <v>354.08</v>
      </c>
    </row>
    <row r="56" spans="1:17" x14ac:dyDescent="0.3">
      <c r="A56" s="2" t="s">
        <v>241</v>
      </c>
      <c r="B56" s="6">
        <v>44459</v>
      </c>
      <c r="C56" s="15" t="s">
        <v>242</v>
      </c>
      <c r="D56" s="10" t="s">
        <v>243</v>
      </c>
      <c r="E56" s="42">
        <v>15000</v>
      </c>
      <c r="F56" s="42">
        <v>265.5</v>
      </c>
      <c r="G56" s="42"/>
      <c r="H56" s="42">
        <v>7.5</v>
      </c>
      <c r="I56" s="42">
        <v>75</v>
      </c>
      <c r="J56" s="42">
        <f t="shared" si="3"/>
        <v>348</v>
      </c>
    </row>
    <row r="57" spans="1:17" x14ac:dyDescent="0.3">
      <c r="A57" s="2" t="s">
        <v>244</v>
      </c>
      <c r="B57" s="6">
        <v>44459</v>
      </c>
      <c r="C57" s="15" t="s">
        <v>242</v>
      </c>
      <c r="D57" s="10" t="s">
        <v>245</v>
      </c>
      <c r="E57" s="42">
        <v>1500</v>
      </c>
      <c r="F57" s="42">
        <v>265.5</v>
      </c>
      <c r="G57" s="42"/>
      <c r="H57" s="42">
        <v>7.5</v>
      </c>
      <c r="I57" s="42">
        <v>75</v>
      </c>
      <c r="J57" s="42">
        <f t="shared" si="3"/>
        <v>348</v>
      </c>
    </row>
    <row r="58" spans="1:17" ht="21.6" x14ac:dyDescent="0.3">
      <c r="A58" s="2" t="s">
        <v>246</v>
      </c>
      <c r="B58" s="6">
        <v>44466</v>
      </c>
      <c r="C58" s="15" t="s">
        <v>17</v>
      </c>
      <c r="D58" s="10" t="s">
        <v>247</v>
      </c>
      <c r="E58" s="42">
        <v>11500</v>
      </c>
      <c r="F58" s="42">
        <v>213.88</v>
      </c>
      <c r="G58" s="42"/>
      <c r="H58" s="42">
        <v>5.75</v>
      </c>
      <c r="I58" s="42">
        <v>57.5</v>
      </c>
      <c r="J58" s="42">
        <f t="shared" ref="J58" si="4">SUM(F58:I58)</f>
        <v>277.13</v>
      </c>
    </row>
    <row r="59" spans="1:17" x14ac:dyDescent="0.3">
      <c r="A59" s="2" t="s">
        <v>248</v>
      </c>
      <c r="B59" s="6">
        <v>44466</v>
      </c>
      <c r="C59" s="15" t="s">
        <v>179</v>
      </c>
      <c r="D59" s="10" t="s">
        <v>249</v>
      </c>
      <c r="E59" s="42">
        <v>9300</v>
      </c>
      <c r="F59" s="42">
        <v>181.43</v>
      </c>
      <c r="G59" s="42"/>
      <c r="H59" s="42">
        <v>4.6500000000000004</v>
      </c>
      <c r="I59" s="42">
        <v>46.5</v>
      </c>
      <c r="J59" s="42">
        <f t="shared" ref="J59:J60" si="5">SUM(F59:I59)</f>
        <v>232.58</v>
      </c>
    </row>
    <row r="60" spans="1:17" x14ac:dyDescent="0.3">
      <c r="A60" s="2" t="s">
        <v>251</v>
      </c>
      <c r="B60" s="6">
        <v>44467</v>
      </c>
      <c r="C60" s="15" t="s">
        <v>252</v>
      </c>
      <c r="D60" s="10" t="s">
        <v>253</v>
      </c>
      <c r="E60" s="42">
        <v>8000</v>
      </c>
      <c r="F60" s="42">
        <v>162.25</v>
      </c>
      <c r="G60" s="42"/>
      <c r="H60" s="42">
        <v>4</v>
      </c>
      <c r="I60" s="42"/>
      <c r="J60" s="42">
        <f t="shared" si="5"/>
        <v>166.25</v>
      </c>
    </row>
    <row r="61" spans="1:17" x14ac:dyDescent="0.3">
      <c r="A61" s="2" t="s">
        <v>254</v>
      </c>
      <c r="B61" s="6">
        <v>44480</v>
      </c>
      <c r="C61" s="2" t="s">
        <v>255</v>
      </c>
      <c r="D61" s="1" t="s">
        <v>256</v>
      </c>
      <c r="E61" s="1">
        <v>11866</v>
      </c>
      <c r="F61" s="1">
        <v>271.81</v>
      </c>
      <c r="G61" s="1"/>
      <c r="H61" s="1">
        <v>5.93</v>
      </c>
      <c r="I61" s="1">
        <v>59.33</v>
      </c>
      <c r="J61" s="1">
        <f t="shared" ref="J61" si="6">SUM(F61:I61)</f>
        <v>337.07</v>
      </c>
    </row>
    <row r="62" spans="1:17" x14ac:dyDescent="0.3">
      <c r="A62" s="2" t="s">
        <v>257</v>
      </c>
      <c r="B62" s="6">
        <v>44489</v>
      </c>
      <c r="C62" s="1" t="s">
        <v>258</v>
      </c>
      <c r="D62" s="2" t="s">
        <v>259</v>
      </c>
      <c r="E62" s="1">
        <v>36000</v>
      </c>
      <c r="F62" s="1">
        <v>531.25</v>
      </c>
      <c r="G62" s="1"/>
      <c r="H62" s="1">
        <v>18</v>
      </c>
      <c r="I62" s="1">
        <v>100</v>
      </c>
      <c r="J62" s="1">
        <f t="shared" ref="J62:J63" si="7">SUM(F62:I62)</f>
        <v>649.25</v>
      </c>
    </row>
    <row r="63" spans="1:17" x14ac:dyDescent="0.3">
      <c r="A63" s="2" t="s">
        <v>260</v>
      </c>
      <c r="B63" s="6">
        <v>44489</v>
      </c>
      <c r="C63" s="1" t="s">
        <v>258</v>
      </c>
      <c r="D63" s="2" t="s">
        <v>261</v>
      </c>
      <c r="E63" s="1">
        <v>8000</v>
      </c>
      <c r="F63" s="1">
        <v>162.25</v>
      </c>
      <c r="G63" s="1"/>
      <c r="H63" s="1">
        <v>4</v>
      </c>
      <c r="I63" s="1">
        <v>40</v>
      </c>
      <c r="J63" s="1">
        <f t="shared" si="7"/>
        <v>206.25</v>
      </c>
    </row>
    <row r="64" spans="1:17" x14ac:dyDescent="0.3">
      <c r="A64" s="2" t="s">
        <v>262</v>
      </c>
      <c r="B64" s="6">
        <v>44497</v>
      </c>
      <c r="C64" s="1" t="s">
        <v>263</v>
      </c>
      <c r="D64" s="2" t="s">
        <v>264</v>
      </c>
      <c r="E64" s="1">
        <v>11397</v>
      </c>
      <c r="F64" s="1">
        <v>212.36</v>
      </c>
      <c r="G64" s="1"/>
      <c r="H64" s="1">
        <v>5.7</v>
      </c>
      <c r="I64" s="1">
        <v>56.99</v>
      </c>
      <c r="J64" s="1">
        <f t="shared" ref="J64:J65" si="8">SUM(F64:I64)</f>
        <v>275.05</v>
      </c>
    </row>
    <row r="65" spans="1:10" x14ac:dyDescent="0.3">
      <c r="A65" s="2" t="s">
        <v>265</v>
      </c>
      <c r="B65" s="6">
        <v>47054</v>
      </c>
      <c r="C65" s="1" t="s">
        <v>266</v>
      </c>
      <c r="D65" s="2" t="s">
        <v>267</v>
      </c>
      <c r="E65" s="1">
        <v>11372.82</v>
      </c>
      <c r="F65" s="1">
        <v>217.31</v>
      </c>
      <c r="G65" s="1"/>
      <c r="H65" s="1">
        <v>5.87</v>
      </c>
      <c r="I65" s="1">
        <v>58.66</v>
      </c>
      <c r="J65" s="1">
        <f t="shared" si="8"/>
        <v>281.84000000000003</v>
      </c>
    </row>
    <row r="66" spans="1:10" x14ac:dyDescent="0.3">
      <c r="A66" s="2" t="s">
        <v>268</v>
      </c>
      <c r="B66" s="6">
        <v>44502</v>
      </c>
      <c r="C66" s="1" t="s">
        <v>54</v>
      </c>
      <c r="D66" s="2" t="s">
        <v>269</v>
      </c>
      <c r="E66" s="1">
        <v>1500</v>
      </c>
      <c r="F66" s="1">
        <v>28.25</v>
      </c>
      <c r="G66" s="1"/>
      <c r="H66" s="1">
        <v>0.75</v>
      </c>
      <c r="I66" s="1">
        <v>7.5</v>
      </c>
      <c r="J66" s="1">
        <f>SUM(F66:I66)</f>
        <v>36.5</v>
      </c>
    </row>
    <row r="67" spans="1:10" ht="21.6" x14ac:dyDescent="0.3">
      <c r="A67" s="2" t="s">
        <v>270</v>
      </c>
      <c r="B67" s="6">
        <v>44545</v>
      </c>
      <c r="C67" s="1" t="s">
        <v>271</v>
      </c>
      <c r="D67" s="3" t="s">
        <v>272</v>
      </c>
      <c r="E67" s="1">
        <v>7500</v>
      </c>
      <c r="F67" s="1">
        <v>154.88</v>
      </c>
      <c r="G67" s="1"/>
      <c r="H67" s="1">
        <v>3.75</v>
      </c>
      <c r="I67" s="1">
        <v>37.5</v>
      </c>
      <c r="J67" s="1">
        <f>SUM(F67:I67)</f>
        <v>196.13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4879-D9F7-4037-94A4-AF18C5786BA2}">
  <dimension ref="A1:P17"/>
  <sheetViews>
    <sheetView workbookViewId="0">
      <selection activeCell="A18" sqref="A18"/>
    </sheetView>
  </sheetViews>
  <sheetFormatPr defaultRowHeight="14.4" x14ac:dyDescent="0.3"/>
  <cols>
    <col min="4" max="4" width="15.88671875" bestFit="1" customWidth="1"/>
    <col min="5" max="5" width="14.44140625" customWidth="1"/>
    <col min="7" max="7" width="10.109375" bestFit="1" customWidth="1"/>
  </cols>
  <sheetData>
    <row r="1" spans="1:16" x14ac:dyDescent="0.3">
      <c r="A1" s="12" t="s">
        <v>0</v>
      </c>
      <c r="B1" s="12"/>
      <c r="C1" s="50"/>
      <c r="D1" s="50"/>
      <c r="E1" s="2"/>
      <c r="F1" s="2"/>
      <c r="G1" s="7" t="s">
        <v>1</v>
      </c>
      <c r="H1" s="7" t="s">
        <v>0</v>
      </c>
      <c r="I1" s="7" t="s">
        <v>2</v>
      </c>
      <c r="J1" s="7"/>
      <c r="K1" s="7" t="s">
        <v>3</v>
      </c>
      <c r="L1" s="7"/>
    </row>
    <row r="2" spans="1:16" ht="21.6" x14ac:dyDescent="0.3">
      <c r="A2" s="51" t="s">
        <v>4</v>
      </c>
      <c r="B2" s="52" t="s">
        <v>273</v>
      </c>
      <c r="C2" s="53" t="s">
        <v>5</v>
      </c>
      <c r="D2" s="53" t="s">
        <v>6</v>
      </c>
      <c r="E2" s="4" t="s">
        <v>96</v>
      </c>
      <c r="F2" s="4" t="s">
        <v>7</v>
      </c>
      <c r="G2" s="54" t="s">
        <v>8</v>
      </c>
      <c r="H2" s="54" t="s">
        <v>9</v>
      </c>
      <c r="I2" s="54" t="s">
        <v>10</v>
      </c>
      <c r="J2" s="54" t="s">
        <v>11</v>
      </c>
      <c r="K2" s="54" t="s">
        <v>9</v>
      </c>
      <c r="L2" s="54" t="s">
        <v>12</v>
      </c>
    </row>
    <row r="3" spans="1:16" ht="35.4" x14ac:dyDescent="0.3">
      <c r="A3" s="55" t="s">
        <v>274</v>
      </c>
      <c r="B3" s="55" t="s">
        <v>275</v>
      </c>
      <c r="C3" s="56">
        <v>44706</v>
      </c>
      <c r="D3" s="55" t="s">
        <v>276</v>
      </c>
      <c r="E3" s="57" t="s">
        <v>277</v>
      </c>
      <c r="F3" s="55" t="s">
        <v>278</v>
      </c>
      <c r="G3" s="58">
        <v>14000</v>
      </c>
      <c r="H3" s="58">
        <v>250.75</v>
      </c>
      <c r="I3" s="58"/>
      <c r="J3" s="59">
        <v>7</v>
      </c>
      <c r="K3" s="58">
        <v>70</v>
      </c>
      <c r="L3" s="58">
        <f t="shared" ref="L3:L4" si="0">SUM(H3:K3)</f>
        <v>327.75</v>
      </c>
    </row>
    <row r="4" spans="1:16" ht="35.4" x14ac:dyDescent="0.3">
      <c r="A4" s="55" t="s">
        <v>279</v>
      </c>
      <c r="B4" s="55"/>
      <c r="C4" s="56">
        <v>44706</v>
      </c>
      <c r="D4" s="55" t="s">
        <v>280</v>
      </c>
      <c r="E4" s="57" t="s">
        <v>281</v>
      </c>
      <c r="F4" s="55" t="s">
        <v>282</v>
      </c>
      <c r="G4" s="58">
        <v>15000</v>
      </c>
      <c r="H4" s="58">
        <v>265.5</v>
      </c>
      <c r="I4" s="58"/>
      <c r="J4" s="59">
        <v>7.5</v>
      </c>
      <c r="K4" s="58">
        <v>75</v>
      </c>
      <c r="L4" s="58">
        <f t="shared" si="0"/>
        <v>348</v>
      </c>
    </row>
    <row r="5" spans="1:16" s="65" customFormat="1" ht="24" x14ac:dyDescent="0.25">
      <c r="A5" s="60" t="s">
        <v>283</v>
      </c>
      <c r="B5" s="60"/>
      <c r="C5" s="61">
        <v>44732</v>
      </c>
      <c r="D5" s="62" t="s">
        <v>284</v>
      </c>
      <c r="E5" s="62" t="s">
        <v>285</v>
      </c>
      <c r="F5" s="62" t="s">
        <v>286</v>
      </c>
      <c r="G5" s="63">
        <v>4000</v>
      </c>
      <c r="H5" s="63">
        <v>103.25</v>
      </c>
      <c r="I5" s="63"/>
      <c r="J5" s="63">
        <v>2</v>
      </c>
      <c r="K5" s="63">
        <v>20</v>
      </c>
      <c r="L5" s="59">
        <f>SUM(H5:K5)</f>
        <v>125.25</v>
      </c>
      <c r="M5" s="64"/>
      <c r="N5" s="63"/>
      <c r="O5" s="63"/>
      <c r="P5" s="63"/>
    </row>
    <row r="6" spans="1:16" s="65" customFormat="1" ht="24" x14ac:dyDescent="0.25">
      <c r="A6" s="60" t="s">
        <v>287</v>
      </c>
      <c r="B6" s="60"/>
      <c r="C6" s="61">
        <v>44739</v>
      </c>
      <c r="D6" s="62" t="s">
        <v>288</v>
      </c>
      <c r="E6" s="62" t="s">
        <v>289</v>
      </c>
      <c r="F6" s="62" t="s">
        <v>290</v>
      </c>
      <c r="G6" s="63">
        <v>8520</v>
      </c>
      <c r="H6" s="63">
        <v>169.92</v>
      </c>
      <c r="I6" s="63"/>
      <c r="J6" s="63">
        <v>4.26</v>
      </c>
      <c r="K6" s="63">
        <v>42</v>
      </c>
      <c r="L6" s="59">
        <f>SUM(H6:K6)</f>
        <v>216.17999999999998</v>
      </c>
      <c r="M6" s="64"/>
      <c r="N6" s="63"/>
      <c r="O6" s="63"/>
      <c r="P6" s="63"/>
    </row>
    <row r="7" spans="1:16" x14ac:dyDescent="0.3">
      <c r="A7" s="59" t="s">
        <v>291</v>
      </c>
      <c r="B7" s="59"/>
      <c r="C7" s="66">
        <v>44748</v>
      </c>
      <c r="D7" s="67" t="s">
        <v>17</v>
      </c>
      <c r="E7" s="68" t="s">
        <v>292</v>
      </c>
      <c r="F7" s="67" t="s">
        <v>293</v>
      </c>
      <c r="G7" s="69">
        <v>24100</v>
      </c>
      <c r="H7" s="69">
        <v>399.73</v>
      </c>
      <c r="I7" s="69"/>
      <c r="J7" s="69">
        <v>12.05</v>
      </c>
      <c r="K7" s="69">
        <v>100</v>
      </c>
      <c r="L7" s="69">
        <f>SUM(H7:K7)</f>
        <v>511.78000000000003</v>
      </c>
    </row>
    <row r="8" spans="1:16" ht="24" x14ac:dyDescent="0.3">
      <c r="A8" s="59" t="s">
        <v>294</v>
      </c>
      <c r="B8" s="59"/>
      <c r="C8" s="66">
        <v>44748</v>
      </c>
      <c r="D8" s="67" t="s">
        <v>295</v>
      </c>
      <c r="E8" s="68" t="s">
        <v>296</v>
      </c>
      <c r="F8" s="67" t="s">
        <v>297</v>
      </c>
      <c r="G8" s="69">
        <v>5000</v>
      </c>
      <c r="H8" s="69">
        <v>118</v>
      </c>
      <c r="I8" s="69"/>
      <c r="J8" s="69">
        <v>2.5</v>
      </c>
      <c r="K8" s="69">
        <v>25</v>
      </c>
      <c r="L8" s="69">
        <f>SUM(H8:K8)</f>
        <v>145.5</v>
      </c>
    </row>
    <row r="9" spans="1:16" ht="24" x14ac:dyDescent="0.3">
      <c r="A9" s="59" t="s">
        <v>298</v>
      </c>
      <c r="B9" s="59" t="s">
        <v>275</v>
      </c>
      <c r="C9" s="66">
        <v>44768</v>
      </c>
      <c r="D9" s="67" t="s">
        <v>91</v>
      </c>
      <c r="E9" s="68" t="s">
        <v>299</v>
      </c>
      <c r="F9" s="67" t="s">
        <v>300</v>
      </c>
      <c r="G9" s="70">
        <v>47364</v>
      </c>
      <c r="H9" s="70">
        <v>653.41</v>
      </c>
      <c r="I9" s="70">
        <v>429.16</v>
      </c>
      <c r="J9" s="70">
        <v>24</v>
      </c>
      <c r="K9" s="70">
        <v>200</v>
      </c>
      <c r="L9" s="69">
        <f>SUM(H9:K9)</f>
        <v>1306.57</v>
      </c>
    </row>
    <row r="10" spans="1:16" ht="35.4" x14ac:dyDescent="0.3">
      <c r="A10" s="59" t="s">
        <v>301</v>
      </c>
      <c r="B10" s="59"/>
      <c r="C10" s="66">
        <v>44775</v>
      </c>
      <c r="D10" s="59" t="s">
        <v>302</v>
      </c>
      <c r="E10" s="68" t="s">
        <v>303</v>
      </c>
      <c r="F10" s="59" t="s">
        <v>304</v>
      </c>
      <c r="G10" s="59">
        <v>5000</v>
      </c>
      <c r="H10" s="59">
        <v>118</v>
      </c>
      <c r="I10" s="59"/>
      <c r="J10" s="59">
        <v>2.5</v>
      </c>
      <c r="K10" s="59">
        <v>25</v>
      </c>
      <c r="L10" s="59">
        <f t="shared" ref="L10:L14" si="1">SUM(H10:K10)</f>
        <v>145.5</v>
      </c>
    </row>
    <row r="11" spans="1:16" s="65" customFormat="1" ht="22.8" x14ac:dyDescent="0.2">
      <c r="A11" s="59" t="s">
        <v>305</v>
      </c>
      <c r="B11" s="59"/>
      <c r="C11" s="66">
        <v>44783</v>
      </c>
      <c r="D11" s="59" t="s">
        <v>17</v>
      </c>
      <c r="E11" s="68" t="s">
        <v>306</v>
      </c>
      <c r="F11" s="59" t="s">
        <v>307</v>
      </c>
      <c r="G11" s="59">
        <v>44000</v>
      </c>
      <c r="H11" s="59">
        <v>617.25</v>
      </c>
      <c r="I11" s="59"/>
      <c r="J11" s="59">
        <v>22</v>
      </c>
      <c r="K11" s="59">
        <v>200</v>
      </c>
      <c r="L11" s="59">
        <f t="shared" si="1"/>
        <v>839.25</v>
      </c>
      <c r="M11" s="71"/>
      <c r="N11" s="72"/>
      <c r="O11" s="72"/>
      <c r="P11" s="73"/>
    </row>
    <row r="12" spans="1:16" s="65" customFormat="1" ht="45.6" x14ac:dyDescent="0.2">
      <c r="A12" s="59" t="s">
        <v>308</v>
      </c>
      <c r="B12" s="59"/>
      <c r="C12" s="66">
        <v>44804</v>
      </c>
      <c r="D12" s="59" t="s">
        <v>309</v>
      </c>
      <c r="E12" s="68" t="s">
        <v>310</v>
      </c>
      <c r="F12" s="59" t="s">
        <v>311</v>
      </c>
      <c r="G12" s="59">
        <v>135000</v>
      </c>
      <c r="H12" s="59">
        <v>1266.75</v>
      </c>
      <c r="I12" s="59"/>
      <c r="J12" s="59">
        <v>67.5</v>
      </c>
      <c r="K12" s="59">
        <v>100</v>
      </c>
      <c r="L12" s="59">
        <f t="shared" si="1"/>
        <v>1434.25</v>
      </c>
      <c r="M12" s="71"/>
      <c r="N12" s="72"/>
      <c r="O12" s="72"/>
      <c r="P12" s="73"/>
    </row>
    <row r="13" spans="1:16" s="65" customFormat="1" ht="45.6" x14ac:dyDescent="0.2">
      <c r="A13" s="59" t="s">
        <v>312</v>
      </c>
      <c r="B13" s="59"/>
      <c r="C13" s="66">
        <v>44804</v>
      </c>
      <c r="D13" s="59" t="s">
        <v>313</v>
      </c>
      <c r="E13" s="68" t="s">
        <v>314</v>
      </c>
      <c r="F13" s="59" t="s">
        <v>315</v>
      </c>
      <c r="G13" s="59">
        <v>147000</v>
      </c>
      <c r="H13" s="59">
        <v>1338.75</v>
      </c>
      <c r="I13" s="59"/>
      <c r="J13" s="59">
        <v>73.5</v>
      </c>
      <c r="K13" s="59">
        <v>100</v>
      </c>
      <c r="L13" s="59">
        <f t="shared" si="1"/>
        <v>1512.25</v>
      </c>
      <c r="M13" s="71"/>
      <c r="N13" s="72"/>
      <c r="O13" s="72"/>
      <c r="P13" s="73"/>
    </row>
    <row r="14" spans="1:16" s="65" customFormat="1" ht="45.6" x14ac:dyDescent="0.2">
      <c r="A14" s="59" t="s">
        <v>316</v>
      </c>
      <c r="B14" s="59"/>
      <c r="C14" s="66">
        <v>44804</v>
      </c>
      <c r="D14" s="59" t="s">
        <v>317</v>
      </c>
      <c r="E14" s="68" t="s">
        <v>318</v>
      </c>
      <c r="F14" s="59" t="s">
        <v>319</v>
      </c>
      <c r="G14" s="59">
        <v>100000</v>
      </c>
      <c r="H14" s="59">
        <v>1056.75</v>
      </c>
      <c r="I14" s="59" t="s">
        <v>219</v>
      </c>
      <c r="J14" s="59">
        <v>50</v>
      </c>
      <c r="K14" s="59">
        <v>100</v>
      </c>
      <c r="L14" s="59">
        <f t="shared" si="1"/>
        <v>1206.75</v>
      </c>
      <c r="M14" s="71"/>
      <c r="N14" s="72"/>
      <c r="O14" s="72"/>
      <c r="P14" s="73"/>
    </row>
    <row r="15" spans="1:16" x14ac:dyDescent="0.3">
      <c r="A15" s="72" t="s">
        <v>320</v>
      </c>
      <c r="B15" s="72"/>
      <c r="C15" s="74">
        <v>44837</v>
      </c>
      <c r="D15" s="72" t="s">
        <v>321</v>
      </c>
      <c r="E15" s="75" t="s">
        <v>322</v>
      </c>
      <c r="F15" s="72" t="s">
        <v>323</v>
      </c>
      <c r="G15" s="72">
        <v>11100</v>
      </c>
      <c r="H15" s="72">
        <v>207.98</v>
      </c>
      <c r="I15" s="72">
        <v>135.18</v>
      </c>
      <c r="J15" s="72">
        <v>5.55</v>
      </c>
      <c r="K15" s="72">
        <v>55.5</v>
      </c>
      <c r="L15" s="72">
        <f>SUM(H15:K15)</f>
        <v>404.21</v>
      </c>
    </row>
    <row r="16" spans="1:16" x14ac:dyDescent="0.3">
      <c r="A16" s="72" t="s">
        <v>324</v>
      </c>
      <c r="B16" s="72" t="s">
        <v>275</v>
      </c>
      <c r="C16" s="74">
        <v>40828</v>
      </c>
      <c r="D16" s="72" t="s">
        <v>69</v>
      </c>
      <c r="E16" s="75" t="s">
        <v>325</v>
      </c>
      <c r="F16" s="72" t="s">
        <v>326</v>
      </c>
      <c r="G16" s="72">
        <v>190000</v>
      </c>
      <c r="H16" s="72">
        <v>1596.75</v>
      </c>
      <c r="I16" s="72">
        <v>1037.8900000000001</v>
      </c>
      <c r="J16" s="72">
        <v>95</v>
      </c>
      <c r="K16" s="72">
        <v>200</v>
      </c>
      <c r="L16" s="72">
        <f>SUM(H16:K16)</f>
        <v>2929.6400000000003</v>
      </c>
    </row>
    <row r="17" spans="1:12" x14ac:dyDescent="0.3">
      <c r="A17" s="72" t="s">
        <v>327</v>
      </c>
      <c r="B17" s="72" t="s">
        <v>275</v>
      </c>
      <c r="C17" s="74">
        <v>44858</v>
      </c>
      <c r="D17" s="72" t="s">
        <v>328</v>
      </c>
      <c r="E17" s="75" t="s">
        <v>329</v>
      </c>
      <c r="F17" s="72" t="s">
        <v>330</v>
      </c>
      <c r="G17" s="72">
        <v>6100</v>
      </c>
      <c r="H17" s="72">
        <v>134.22999999999999</v>
      </c>
      <c r="I17" s="72"/>
      <c r="J17" s="72">
        <v>3.05</v>
      </c>
      <c r="K17" s="72">
        <v>30.5</v>
      </c>
      <c r="L17" s="72">
        <f>SUM(H17:K17)</f>
        <v>167.78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9251B-290E-4644-9CC6-45ABBD9E3538}">
  <dimension ref="A1:Q15"/>
  <sheetViews>
    <sheetView workbookViewId="0">
      <selection activeCell="D18" sqref="D18"/>
    </sheetView>
  </sheetViews>
  <sheetFormatPr defaultRowHeight="14.4" x14ac:dyDescent="0.3"/>
  <cols>
    <col min="4" max="4" width="18.77734375" bestFit="1" customWidth="1"/>
    <col min="5" max="5" width="16.88671875" customWidth="1"/>
    <col min="6" max="6" width="10.33203125" bestFit="1" customWidth="1"/>
    <col min="7" max="7" width="13.44140625" customWidth="1"/>
    <col min="10" max="10" width="15.21875" customWidth="1"/>
  </cols>
  <sheetData>
    <row r="1" spans="1:17" x14ac:dyDescent="0.3">
      <c r="A1" s="72" t="s">
        <v>0</v>
      </c>
      <c r="B1" s="76" t="s">
        <v>331</v>
      </c>
      <c r="C1" s="74"/>
      <c r="D1" s="67"/>
      <c r="E1" s="67"/>
      <c r="F1" s="67"/>
      <c r="G1" s="72" t="s">
        <v>1</v>
      </c>
      <c r="H1" s="72" t="s">
        <v>0</v>
      </c>
      <c r="I1" s="72" t="s">
        <v>2</v>
      </c>
      <c r="J1" s="77"/>
      <c r="K1" s="77" t="s">
        <v>3</v>
      </c>
      <c r="L1" s="77"/>
    </row>
    <row r="2" spans="1:17" ht="35.4" x14ac:dyDescent="0.3">
      <c r="A2" s="78" t="s">
        <v>4</v>
      </c>
      <c r="B2" s="79" t="s">
        <v>332</v>
      </c>
      <c r="C2" s="80" t="s">
        <v>5</v>
      </c>
      <c r="D2" s="81" t="s">
        <v>6</v>
      </c>
      <c r="E2" s="81" t="s">
        <v>96</v>
      </c>
      <c r="F2" s="81" t="s">
        <v>7</v>
      </c>
      <c r="G2" s="78" t="s">
        <v>8</v>
      </c>
      <c r="H2" s="78" t="s">
        <v>9</v>
      </c>
      <c r="I2" s="78" t="s">
        <v>10</v>
      </c>
      <c r="J2" s="78" t="s">
        <v>11</v>
      </c>
      <c r="K2" s="78" t="s">
        <v>9</v>
      </c>
      <c r="L2" s="78" t="s">
        <v>12</v>
      </c>
    </row>
    <row r="3" spans="1:17" ht="24" x14ac:dyDescent="0.3">
      <c r="A3" s="55" t="s">
        <v>333</v>
      </c>
      <c r="B3" s="55" t="s">
        <v>334</v>
      </c>
      <c r="C3" s="56">
        <v>45055</v>
      </c>
      <c r="D3" s="55" t="s">
        <v>335</v>
      </c>
      <c r="E3" s="57" t="s">
        <v>336</v>
      </c>
      <c r="F3" s="55" t="s">
        <v>337</v>
      </c>
      <c r="G3" s="58">
        <v>17000</v>
      </c>
      <c r="H3" s="58">
        <v>295</v>
      </c>
      <c r="I3" s="58"/>
      <c r="J3" s="59">
        <v>8.5</v>
      </c>
      <c r="K3" s="58">
        <v>85</v>
      </c>
      <c r="L3" s="58">
        <f t="shared" ref="L3:L8" si="0">SUM(H3:K3)</f>
        <v>388.5</v>
      </c>
    </row>
    <row r="4" spans="1:17" ht="24" x14ac:dyDescent="0.3">
      <c r="A4" s="55" t="s">
        <v>338</v>
      </c>
      <c r="B4" s="55" t="s">
        <v>334</v>
      </c>
      <c r="C4" s="56">
        <v>45077</v>
      </c>
      <c r="D4" s="55" t="s">
        <v>339</v>
      </c>
      <c r="E4" s="57" t="s">
        <v>340</v>
      </c>
      <c r="F4" s="55" t="s">
        <v>341</v>
      </c>
      <c r="G4" s="58">
        <v>28471</v>
      </c>
      <c r="H4" s="58">
        <v>461.06</v>
      </c>
      <c r="I4" s="58"/>
      <c r="J4" s="59">
        <v>14.74</v>
      </c>
      <c r="K4" s="58">
        <v>100</v>
      </c>
      <c r="L4" s="58">
        <f t="shared" si="0"/>
        <v>575.79999999999995</v>
      </c>
    </row>
    <row r="5" spans="1:17" ht="24" x14ac:dyDescent="0.3">
      <c r="A5" s="67" t="s">
        <v>342</v>
      </c>
      <c r="B5" s="67"/>
      <c r="C5" s="66">
        <v>45082</v>
      </c>
      <c r="D5" s="68" t="s">
        <v>343</v>
      </c>
      <c r="E5" s="68" t="s">
        <v>344</v>
      </c>
      <c r="F5" s="68" t="s">
        <v>345</v>
      </c>
      <c r="G5" s="59">
        <v>53000</v>
      </c>
      <c r="H5" s="59">
        <v>704.26</v>
      </c>
      <c r="I5" s="59">
        <v>457.76</v>
      </c>
      <c r="J5" s="59">
        <v>26.5</v>
      </c>
      <c r="K5" s="59">
        <v>200</v>
      </c>
      <c r="L5" s="59">
        <f t="shared" si="0"/>
        <v>1388.52</v>
      </c>
    </row>
    <row r="6" spans="1:17" ht="24" x14ac:dyDescent="0.3">
      <c r="A6" s="67" t="s">
        <v>346</v>
      </c>
      <c r="B6" s="67"/>
      <c r="C6" s="66">
        <v>45084</v>
      </c>
      <c r="D6" s="68" t="s">
        <v>347</v>
      </c>
      <c r="E6" s="68" t="s">
        <v>348</v>
      </c>
      <c r="F6" s="68" t="s">
        <v>349</v>
      </c>
      <c r="G6" s="59">
        <v>5000</v>
      </c>
      <c r="H6" s="59">
        <v>118</v>
      </c>
      <c r="I6" s="59">
        <v>76.7</v>
      </c>
      <c r="J6" s="59">
        <v>2.5</v>
      </c>
      <c r="K6" s="59">
        <v>25</v>
      </c>
      <c r="L6" s="59">
        <f t="shared" si="0"/>
        <v>222.2</v>
      </c>
    </row>
    <row r="7" spans="1:17" ht="24" x14ac:dyDescent="0.3">
      <c r="A7" s="67" t="s">
        <v>350</v>
      </c>
      <c r="B7" s="67" t="s">
        <v>334</v>
      </c>
      <c r="C7" s="66">
        <v>45097</v>
      </c>
      <c r="D7" s="68" t="s">
        <v>17</v>
      </c>
      <c r="E7" s="68" t="s">
        <v>351</v>
      </c>
      <c r="F7" s="68" t="s">
        <v>352</v>
      </c>
      <c r="G7" s="59">
        <v>18000</v>
      </c>
      <c r="H7" s="59">
        <v>309.75</v>
      </c>
      <c r="I7" s="59"/>
      <c r="J7" s="59">
        <v>9</v>
      </c>
      <c r="K7" s="59">
        <v>90</v>
      </c>
      <c r="L7" s="59">
        <f t="shared" si="0"/>
        <v>408.75</v>
      </c>
    </row>
    <row r="8" spans="1:17" ht="27" x14ac:dyDescent="0.3">
      <c r="A8" s="82" t="s">
        <v>353</v>
      </c>
      <c r="B8" s="82" t="s">
        <v>334</v>
      </c>
      <c r="C8" s="83">
        <v>45117</v>
      </c>
      <c r="D8" s="84" t="s">
        <v>354</v>
      </c>
      <c r="E8" s="85" t="s">
        <v>355</v>
      </c>
      <c r="F8" s="84" t="s">
        <v>356</v>
      </c>
      <c r="G8" s="86">
        <v>6500</v>
      </c>
      <c r="H8" s="86">
        <v>149.5</v>
      </c>
      <c r="I8" s="86">
        <v>95.86</v>
      </c>
      <c r="J8" s="86">
        <v>3.5</v>
      </c>
      <c r="K8" s="86">
        <v>100</v>
      </c>
      <c r="L8" s="86">
        <f t="shared" si="0"/>
        <v>348.86</v>
      </c>
    </row>
    <row r="9" spans="1:17" ht="40.200000000000003" x14ac:dyDescent="0.3">
      <c r="A9" s="87" t="s">
        <v>357</v>
      </c>
      <c r="B9" s="87" t="s">
        <v>275</v>
      </c>
      <c r="C9" s="83">
        <v>45125</v>
      </c>
      <c r="D9" s="84" t="s">
        <v>358</v>
      </c>
      <c r="E9" s="85" t="s">
        <v>359</v>
      </c>
      <c r="F9" s="84" t="s">
        <v>360</v>
      </c>
      <c r="G9" s="86">
        <v>15300</v>
      </c>
      <c r="H9" s="86">
        <v>269.93</v>
      </c>
      <c r="I9" s="86"/>
      <c r="J9" s="86">
        <v>7.65</v>
      </c>
      <c r="K9" s="86">
        <v>76.5</v>
      </c>
      <c r="L9" s="86">
        <f>SUM(H9:K9)</f>
        <v>354.08</v>
      </c>
    </row>
    <row r="10" spans="1:17" ht="24" x14ac:dyDescent="0.3">
      <c r="A10" s="59" t="s">
        <v>361</v>
      </c>
      <c r="B10" s="59"/>
      <c r="C10" s="66">
        <v>45160</v>
      </c>
      <c r="D10" s="59" t="s">
        <v>362</v>
      </c>
      <c r="E10" s="68" t="s">
        <v>363</v>
      </c>
      <c r="F10" s="59" t="s">
        <v>364</v>
      </c>
      <c r="G10" s="59">
        <v>4000</v>
      </c>
      <c r="H10" s="59">
        <v>103.25</v>
      </c>
      <c r="I10" s="59"/>
      <c r="J10" s="59">
        <v>2</v>
      </c>
      <c r="K10" s="59">
        <v>20</v>
      </c>
      <c r="L10" s="59">
        <f>SUM(H10:K10)</f>
        <v>125.25</v>
      </c>
    </row>
    <row r="11" spans="1:17" ht="24" x14ac:dyDescent="0.3">
      <c r="A11" s="59" t="s">
        <v>365</v>
      </c>
      <c r="B11" s="59" t="s">
        <v>334</v>
      </c>
      <c r="C11" s="66">
        <v>45160</v>
      </c>
      <c r="D11" s="59" t="s">
        <v>280</v>
      </c>
      <c r="E11" s="68" t="s">
        <v>366</v>
      </c>
      <c r="F11" s="59" t="s">
        <v>367</v>
      </c>
      <c r="G11" s="59">
        <v>18000</v>
      </c>
      <c r="H11" s="59">
        <v>309.75</v>
      </c>
      <c r="I11" s="59"/>
      <c r="J11" s="59">
        <v>9</v>
      </c>
      <c r="K11" s="59" t="s">
        <v>219</v>
      </c>
      <c r="L11" s="59">
        <f>SUM(H11:K11)</f>
        <v>318.75</v>
      </c>
    </row>
    <row r="12" spans="1:17" ht="24" x14ac:dyDescent="0.3">
      <c r="A12" s="59" t="s">
        <v>368</v>
      </c>
      <c r="B12" s="59"/>
      <c r="C12" s="66">
        <v>45167</v>
      </c>
      <c r="D12" s="59" t="s">
        <v>369</v>
      </c>
      <c r="E12" s="68" t="s">
        <v>370</v>
      </c>
      <c r="F12" s="59" t="s">
        <v>371</v>
      </c>
      <c r="G12" s="59">
        <v>25000</v>
      </c>
      <c r="H12" s="59">
        <v>413</v>
      </c>
      <c r="I12" s="59"/>
      <c r="J12" s="59">
        <v>12.5</v>
      </c>
      <c r="K12" s="59">
        <v>100</v>
      </c>
      <c r="L12" s="59">
        <f>SUM(H12:K12)</f>
        <v>525.5</v>
      </c>
    </row>
    <row r="13" spans="1:17" s="65" customFormat="1" ht="22.8" x14ac:dyDescent="0.2">
      <c r="A13" s="72" t="s">
        <v>372</v>
      </c>
      <c r="B13" s="72" t="s">
        <v>334</v>
      </c>
      <c r="C13" s="74">
        <v>45189</v>
      </c>
      <c r="D13" s="72" t="s">
        <v>373</v>
      </c>
      <c r="E13" s="88">
        <v>3511723120019</v>
      </c>
      <c r="F13" s="59" t="s">
        <v>374</v>
      </c>
      <c r="G13" s="72">
        <v>21101</v>
      </c>
      <c r="H13" s="72">
        <v>355.49</v>
      </c>
      <c r="I13" s="72"/>
      <c r="J13" s="72">
        <v>10.55</v>
      </c>
      <c r="K13" s="72">
        <v>100</v>
      </c>
      <c r="L13" s="72">
        <f t="shared" ref="L13" si="1">SUM(H13:K13)</f>
        <v>466.04</v>
      </c>
      <c r="M13" s="71"/>
      <c r="N13" s="73"/>
      <c r="P13" s="89"/>
      <c r="Q13" s="73"/>
    </row>
    <row r="14" spans="1:17" s="65" customFormat="1" ht="22.8" x14ac:dyDescent="0.2">
      <c r="A14" s="72" t="s">
        <v>375</v>
      </c>
      <c r="B14" s="72"/>
      <c r="C14" s="74">
        <v>45197</v>
      </c>
      <c r="D14" s="72" t="s">
        <v>376</v>
      </c>
      <c r="E14" s="88">
        <v>3411723110055</v>
      </c>
      <c r="F14" s="90" t="s">
        <v>377</v>
      </c>
      <c r="G14" s="72">
        <v>68200</v>
      </c>
      <c r="H14" s="72">
        <v>831.75</v>
      </c>
      <c r="I14" s="72"/>
      <c r="J14" s="72">
        <v>35</v>
      </c>
      <c r="K14" s="72">
        <v>200</v>
      </c>
      <c r="L14" s="72">
        <f>SUM(H14:K14)</f>
        <v>1066.75</v>
      </c>
      <c r="M14" s="71"/>
      <c r="N14" s="73"/>
    </row>
    <row r="15" spans="1:17" s="96" customFormat="1" ht="13.2" x14ac:dyDescent="0.25">
      <c r="A15" s="91" t="s">
        <v>378</v>
      </c>
      <c r="B15" s="91"/>
      <c r="C15" s="92">
        <v>45236</v>
      </c>
      <c r="D15" s="93" t="s">
        <v>379</v>
      </c>
      <c r="E15" s="94">
        <v>2711723430031</v>
      </c>
      <c r="F15" s="91" t="s">
        <v>380</v>
      </c>
      <c r="G15" s="93">
        <v>8600</v>
      </c>
      <c r="H15" s="93">
        <v>171.1</v>
      </c>
      <c r="I15" s="93" t="s">
        <v>219</v>
      </c>
      <c r="J15" s="93">
        <v>4.3</v>
      </c>
      <c r="K15" s="93">
        <v>43</v>
      </c>
      <c r="L15" s="93">
        <f>SUM(H15:K15)</f>
        <v>218.4</v>
      </c>
      <c r="M15" s="93"/>
      <c r="N15" s="95"/>
      <c r="P15" s="96">
        <v>51.33</v>
      </c>
      <c r="Q15" s="95">
        <f>L15-J15-P15</f>
        <v>162.76999999999998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CD51-01F9-44FE-83A4-970FB19CA11F}">
  <dimension ref="A1:Q19"/>
  <sheetViews>
    <sheetView workbookViewId="0">
      <selection activeCell="H25" sqref="H25"/>
    </sheetView>
  </sheetViews>
  <sheetFormatPr defaultRowHeight="14.4" x14ac:dyDescent="0.3"/>
  <cols>
    <col min="1" max="1" width="9.109375" customWidth="1"/>
    <col min="4" max="4" width="20.5546875" bestFit="1" customWidth="1"/>
    <col min="5" max="5" width="16.77734375" bestFit="1" customWidth="1"/>
    <col min="6" max="6" width="12.5546875" customWidth="1"/>
    <col min="7" max="7" width="14.44140625" customWidth="1"/>
    <col min="8" max="8" width="17.33203125" customWidth="1"/>
    <col min="10" max="10" width="11.5546875" customWidth="1"/>
    <col min="12" max="12" width="13.33203125" customWidth="1"/>
  </cols>
  <sheetData>
    <row r="1" spans="1:17" ht="35.4" x14ac:dyDescent="0.3">
      <c r="A1" s="78" t="s">
        <v>381</v>
      </c>
      <c r="B1" s="97" t="s">
        <v>382</v>
      </c>
      <c r="C1" s="80" t="s">
        <v>5</v>
      </c>
      <c r="D1" s="81" t="s">
        <v>6</v>
      </c>
      <c r="E1" s="81" t="s">
        <v>96</v>
      </c>
      <c r="F1" s="81" t="s">
        <v>7</v>
      </c>
      <c r="G1" s="81" t="s">
        <v>383</v>
      </c>
      <c r="H1" s="78" t="s">
        <v>384</v>
      </c>
      <c r="I1" s="81" t="s">
        <v>385</v>
      </c>
      <c r="J1" s="78" t="s">
        <v>11</v>
      </c>
      <c r="K1" s="81" t="s">
        <v>386</v>
      </c>
      <c r="L1" s="78" t="s">
        <v>12</v>
      </c>
    </row>
    <row r="2" spans="1:17" s="65" customFormat="1" ht="14.1" customHeight="1" x14ac:dyDescent="0.2">
      <c r="A2" s="59" t="s">
        <v>387</v>
      </c>
      <c r="B2" s="59"/>
      <c r="C2" s="66">
        <v>45308</v>
      </c>
      <c r="D2" s="67" t="s">
        <v>255</v>
      </c>
      <c r="E2" s="68"/>
      <c r="F2" s="67" t="s">
        <v>118</v>
      </c>
      <c r="G2" s="69">
        <v>10950</v>
      </c>
      <c r="H2" s="69">
        <v>205.76</v>
      </c>
      <c r="I2" s="69"/>
      <c r="J2" s="69">
        <v>5.48</v>
      </c>
      <c r="K2" s="69">
        <v>100</v>
      </c>
      <c r="L2" s="69">
        <f t="shared" ref="L2" si="0">SUM(H2:K2)</f>
        <v>311.24</v>
      </c>
    </row>
    <row r="3" spans="1:17" ht="27" x14ac:dyDescent="0.3">
      <c r="A3" s="82" t="s">
        <v>388</v>
      </c>
      <c r="B3" s="98"/>
      <c r="C3" s="99">
        <v>45372</v>
      </c>
      <c r="D3" s="100">
        <v>3411723120110</v>
      </c>
      <c r="E3" s="84" t="s">
        <v>389</v>
      </c>
      <c r="F3" s="84" t="s">
        <v>390</v>
      </c>
      <c r="G3" s="101">
        <v>24342</v>
      </c>
      <c r="H3" s="102">
        <v>403.29</v>
      </c>
      <c r="I3" s="102"/>
      <c r="J3" s="86">
        <v>12.17</v>
      </c>
      <c r="K3" s="86">
        <v>100</v>
      </c>
      <c r="L3" s="69">
        <f>SUM(H3:K3)</f>
        <v>515.46</v>
      </c>
    </row>
    <row r="4" spans="1:17" s="107" customFormat="1" ht="15" x14ac:dyDescent="0.25">
      <c r="A4" s="103" t="s">
        <v>391</v>
      </c>
      <c r="B4" s="103"/>
      <c r="C4" s="104">
        <v>45384</v>
      </c>
      <c r="D4" s="105" t="s">
        <v>358</v>
      </c>
      <c r="E4" s="106" t="s">
        <v>392</v>
      </c>
      <c r="F4" s="103" t="s">
        <v>393</v>
      </c>
      <c r="G4" s="103">
        <v>15300</v>
      </c>
      <c r="H4" s="103">
        <v>269.93</v>
      </c>
      <c r="I4" s="103"/>
      <c r="J4" s="103">
        <v>7.63</v>
      </c>
      <c r="K4" s="103">
        <v>76.5</v>
      </c>
      <c r="L4" s="103">
        <f>SUM(H4:K4)</f>
        <v>354.06</v>
      </c>
    </row>
    <row r="5" spans="1:17" s="107" customFormat="1" ht="15" x14ac:dyDescent="0.25">
      <c r="A5" s="103" t="s">
        <v>394</v>
      </c>
      <c r="B5" s="103" t="s">
        <v>334</v>
      </c>
      <c r="C5" s="104">
        <v>45400</v>
      </c>
      <c r="D5" s="105" t="s">
        <v>17</v>
      </c>
      <c r="E5" s="108">
        <v>3411723210018</v>
      </c>
      <c r="F5" s="109" t="s">
        <v>395</v>
      </c>
      <c r="G5" s="103">
        <v>11400</v>
      </c>
      <c r="H5" s="103">
        <v>212.4</v>
      </c>
      <c r="I5" s="103"/>
      <c r="J5" s="103">
        <v>5.7</v>
      </c>
      <c r="K5" s="103">
        <v>57</v>
      </c>
      <c r="L5" s="103">
        <f>SUM(H5:K5)</f>
        <v>275.10000000000002</v>
      </c>
    </row>
    <row r="6" spans="1:17" s="65" customFormat="1" ht="11.4" x14ac:dyDescent="0.2">
      <c r="A6" s="55" t="s">
        <v>396</v>
      </c>
      <c r="B6" s="55"/>
      <c r="C6" s="56">
        <v>45442</v>
      </c>
      <c r="D6" s="55" t="s">
        <v>397</v>
      </c>
      <c r="E6" s="57" t="s">
        <v>398</v>
      </c>
      <c r="F6" s="55" t="s">
        <v>399</v>
      </c>
      <c r="G6" s="58">
        <v>15000</v>
      </c>
      <c r="H6" s="58">
        <v>531</v>
      </c>
      <c r="I6" s="58"/>
      <c r="J6" s="59">
        <v>7.5</v>
      </c>
      <c r="K6" s="58">
        <v>75</v>
      </c>
      <c r="L6" s="58">
        <f t="shared" ref="L6" si="1">SUM(H6:K6)</f>
        <v>613.5</v>
      </c>
    </row>
    <row r="7" spans="1:17" s="65" customFormat="1" ht="14.1" customHeight="1" x14ac:dyDescent="0.25">
      <c r="A7" s="82" t="s">
        <v>400</v>
      </c>
      <c r="B7" s="59" t="s">
        <v>334</v>
      </c>
      <c r="C7" s="66">
        <v>45447</v>
      </c>
      <c r="D7" s="110" t="s">
        <v>17</v>
      </c>
      <c r="E7" s="68" t="s">
        <v>401</v>
      </c>
      <c r="F7" s="110" t="s">
        <v>402</v>
      </c>
      <c r="G7" s="59">
        <v>6000</v>
      </c>
      <c r="H7" s="59">
        <v>132.75</v>
      </c>
      <c r="I7" s="59"/>
      <c r="J7" s="59">
        <v>3</v>
      </c>
      <c r="K7" s="59">
        <v>90</v>
      </c>
      <c r="L7" s="59">
        <f>SUM(H7:K7)</f>
        <v>225.75</v>
      </c>
    </row>
    <row r="8" spans="1:17" s="65" customFormat="1" ht="14.1" customHeight="1" x14ac:dyDescent="0.25">
      <c r="A8" s="84" t="s">
        <v>403</v>
      </c>
      <c r="B8" s="67" t="s">
        <v>334</v>
      </c>
      <c r="C8" s="66">
        <v>45455</v>
      </c>
      <c r="D8" s="110" t="s">
        <v>17</v>
      </c>
      <c r="E8" s="68" t="s">
        <v>404</v>
      </c>
      <c r="F8" s="110" t="s">
        <v>405</v>
      </c>
      <c r="G8" s="59">
        <v>12000</v>
      </c>
      <c r="H8" s="59">
        <v>221.25</v>
      </c>
      <c r="I8" s="59"/>
      <c r="J8" s="59">
        <v>6</v>
      </c>
      <c r="K8" s="59">
        <v>60</v>
      </c>
      <c r="L8" s="59">
        <f>SUM(H8:K8)</f>
        <v>287.25</v>
      </c>
    </row>
    <row r="9" spans="1:17" s="65" customFormat="1" ht="14.1" customHeight="1" x14ac:dyDescent="0.25">
      <c r="A9" s="84" t="s">
        <v>406</v>
      </c>
      <c r="B9" s="67" t="s">
        <v>334</v>
      </c>
      <c r="C9" s="66">
        <v>45460</v>
      </c>
      <c r="D9" s="110" t="s">
        <v>407</v>
      </c>
      <c r="E9" s="68" t="s">
        <v>408</v>
      </c>
      <c r="F9" s="110" t="s">
        <v>409</v>
      </c>
      <c r="G9" s="59">
        <v>12000</v>
      </c>
      <c r="H9" s="59">
        <v>221.25</v>
      </c>
      <c r="I9" s="59"/>
      <c r="J9" s="59">
        <v>6</v>
      </c>
      <c r="K9" s="59">
        <v>60</v>
      </c>
      <c r="L9" s="59">
        <f>SUM(H9:K9)</f>
        <v>287.25</v>
      </c>
    </row>
    <row r="10" spans="1:17" s="65" customFormat="1" ht="14.1" customHeight="1" x14ac:dyDescent="0.2">
      <c r="A10" s="67" t="s">
        <v>410</v>
      </c>
      <c r="B10" s="67"/>
      <c r="C10" s="66" t="s">
        <v>411</v>
      </c>
      <c r="D10" s="68" t="s">
        <v>17</v>
      </c>
      <c r="E10" s="68" t="s">
        <v>412</v>
      </c>
      <c r="F10" s="112" t="s">
        <v>413</v>
      </c>
      <c r="G10" s="59">
        <v>10000</v>
      </c>
      <c r="H10" s="59">
        <v>191.75</v>
      </c>
      <c r="I10" s="59">
        <v>124.64</v>
      </c>
      <c r="J10" s="59">
        <v>5</v>
      </c>
      <c r="K10" s="59">
        <v>150</v>
      </c>
      <c r="L10" s="59">
        <f>SUM(H10:K10)</f>
        <v>471.39</v>
      </c>
    </row>
    <row r="11" spans="1:17" s="96" customFormat="1" ht="12.75" customHeight="1" x14ac:dyDescent="0.25">
      <c r="A11" s="118" t="s">
        <v>414</v>
      </c>
      <c r="B11" s="118"/>
      <c r="C11" s="119">
        <v>45519</v>
      </c>
      <c r="D11" s="118" t="s">
        <v>295</v>
      </c>
      <c r="E11" s="120"/>
      <c r="F11" s="118" t="s">
        <v>415</v>
      </c>
      <c r="G11" s="118">
        <v>8000</v>
      </c>
      <c r="H11" s="118">
        <v>162.25</v>
      </c>
      <c r="I11" s="118" t="s">
        <v>219</v>
      </c>
      <c r="J11" s="118">
        <v>4</v>
      </c>
      <c r="K11" s="118">
        <v>40</v>
      </c>
      <c r="L11" s="118">
        <f>SUM(H11:K11)</f>
        <v>206.25</v>
      </c>
      <c r="M11" s="121"/>
    </row>
    <row r="12" spans="1:17" s="96" customFormat="1" ht="12.75" customHeight="1" x14ac:dyDescent="0.25">
      <c r="A12" s="118" t="s">
        <v>416</v>
      </c>
      <c r="B12" s="118"/>
      <c r="C12" s="119">
        <v>45523</v>
      </c>
      <c r="D12" s="118" t="s">
        <v>417</v>
      </c>
      <c r="E12" s="120"/>
      <c r="F12" s="118" t="s">
        <v>418</v>
      </c>
      <c r="G12" s="118">
        <v>100000</v>
      </c>
      <c r="H12" s="118">
        <v>1056.76</v>
      </c>
      <c r="I12" s="118">
        <v>686.89</v>
      </c>
      <c r="J12" s="118">
        <v>50</v>
      </c>
      <c r="K12" s="118">
        <v>100</v>
      </c>
      <c r="L12" s="118">
        <f>SUM(H12:K12)</f>
        <v>1893.65</v>
      </c>
      <c r="M12" s="121"/>
    </row>
    <row r="13" spans="1:17" s="117" customFormat="1" ht="11.25" customHeight="1" x14ac:dyDescent="0.2">
      <c r="A13" s="76" t="s">
        <v>419</v>
      </c>
      <c r="B13" s="76"/>
      <c r="C13" s="113">
        <v>45561</v>
      </c>
      <c r="D13" s="76" t="s">
        <v>420</v>
      </c>
      <c r="E13" s="114"/>
      <c r="F13" s="32" t="s">
        <v>421</v>
      </c>
      <c r="G13" s="76">
        <v>20000</v>
      </c>
      <c r="H13" s="76">
        <v>339.25</v>
      </c>
      <c r="I13" s="76">
        <v>225.51</v>
      </c>
      <c r="J13" s="76">
        <v>10</v>
      </c>
      <c r="K13" s="76">
        <v>100</v>
      </c>
      <c r="L13" s="76">
        <f>SUM(H13:K13)</f>
        <v>674.76</v>
      </c>
      <c r="M13" s="115"/>
      <c r="N13" s="116"/>
    </row>
    <row r="14" spans="1:17" s="65" customFormat="1" ht="13.2" x14ac:dyDescent="0.25">
      <c r="A14" s="126" t="s">
        <v>422</v>
      </c>
      <c r="B14" s="126"/>
      <c r="C14" s="127">
        <v>45594</v>
      </c>
      <c r="D14" s="126" t="s">
        <v>17</v>
      </c>
      <c r="E14" s="128" t="s">
        <v>423</v>
      </c>
      <c r="F14" s="122" t="s">
        <v>424</v>
      </c>
      <c r="G14" s="126">
        <v>7800</v>
      </c>
      <c r="H14" s="126">
        <v>159.30000000000001</v>
      </c>
      <c r="I14" s="126">
        <v>0</v>
      </c>
      <c r="J14" s="126">
        <v>3.9</v>
      </c>
      <c r="K14" s="126">
        <v>100</v>
      </c>
      <c r="L14" s="126">
        <f>SUM(H14:K14)</f>
        <v>263.20000000000005</v>
      </c>
      <c r="M14" s="129"/>
      <c r="N14" s="129"/>
    </row>
    <row r="15" spans="1:17" s="65" customFormat="1" ht="13.2" x14ac:dyDescent="0.25">
      <c r="A15" s="126" t="s">
        <v>425</v>
      </c>
      <c r="B15" s="126"/>
      <c r="C15" s="127">
        <v>45603</v>
      </c>
      <c r="D15" s="126" t="s">
        <v>236</v>
      </c>
      <c r="E15" s="128" t="s">
        <v>426</v>
      </c>
      <c r="F15" s="122" t="s">
        <v>427</v>
      </c>
      <c r="G15" s="126">
        <v>36000</v>
      </c>
      <c r="H15" s="126">
        <v>531.25</v>
      </c>
      <c r="I15" s="126">
        <v>0</v>
      </c>
      <c r="J15" s="126">
        <v>18</v>
      </c>
      <c r="K15" s="126">
        <v>200</v>
      </c>
      <c r="L15" s="126">
        <f>SUM(H15:K15)</f>
        <v>749.25</v>
      </c>
      <c r="M15" s="126"/>
      <c r="N15" s="131"/>
      <c r="O15" s="129"/>
      <c r="P15" s="132"/>
    </row>
    <row r="16" spans="1:17" s="65" customFormat="1" ht="11.4" x14ac:dyDescent="0.2">
      <c r="A16" s="126" t="s">
        <v>428</v>
      </c>
      <c r="B16" s="126"/>
      <c r="C16" s="127">
        <v>45628</v>
      </c>
      <c r="D16" s="126" t="s">
        <v>429</v>
      </c>
      <c r="E16" s="133" t="s">
        <v>430</v>
      </c>
      <c r="F16" s="122" t="s">
        <v>431</v>
      </c>
      <c r="G16" s="126">
        <v>15000</v>
      </c>
      <c r="H16" s="126">
        <v>265.5</v>
      </c>
      <c r="I16" s="126">
        <v>0</v>
      </c>
      <c r="J16" s="126">
        <v>7.5</v>
      </c>
      <c r="K16" s="126">
        <v>200</v>
      </c>
      <c r="L16" s="126">
        <f>SUM(H16:K16)</f>
        <v>473</v>
      </c>
      <c r="M16" s="126"/>
      <c r="N16" s="131"/>
      <c r="O16" s="129"/>
      <c r="P16" s="132"/>
      <c r="Q16" s="111"/>
    </row>
    <row r="17" spans="1:16" s="65" customFormat="1" ht="11.4" x14ac:dyDescent="0.2">
      <c r="A17" s="126" t="s">
        <v>432</v>
      </c>
      <c r="B17" s="126"/>
      <c r="C17" s="127">
        <v>45637</v>
      </c>
      <c r="D17" s="126" t="s">
        <v>433</v>
      </c>
      <c r="E17" s="133" t="s">
        <v>434</v>
      </c>
      <c r="F17" s="122" t="s">
        <v>435</v>
      </c>
      <c r="G17" s="126">
        <v>16600</v>
      </c>
      <c r="H17" s="126">
        <v>289.10000000000002</v>
      </c>
      <c r="I17" s="126">
        <v>0</v>
      </c>
      <c r="J17" s="126">
        <v>8.3000000000000007</v>
      </c>
      <c r="K17" s="126">
        <v>100</v>
      </c>
      <c r="L17" s="126">
        <f>SUM(H17:K17)</f>
        <v>397.40000000000003</v>
      </c>
      <c r="M17" s="126"/>
      <c r="N17" s="131"/>
      <c r="O17" s="129"/>
      <c r="P17" s="132"/>
    </row>
    <row r="18" spans="1:16" x14ac:dyDescent="0.3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</row>
    <row r="19" spans="1:16" x14ac:dyDescent="0.3">
      <c r="A19" s="130"/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E9A0-E619-4933-BFE9-1561959B3015}">
  <dimension ref="A1:O21"/>
  <sheetViews>
    <sheetView workbookViewId="0">
      <selection activeCell="X19" sqref="X19"/>
    </sheetView>
  </sheetViews>
  <sheetFormatPr defaultRowHeight="14.4" x14ac:dyDescent="0.3"/>
  <cols>
    <col min="1" max="1" width="10.109375" bestFit="1" customWidth="1"/>
    <col min="3" max="4" width="19" bestFit="1" customWidth="1"/>
    <col min="5" max="5" width="17" bestFit="1" customWidth="1"/>
    <col min="6" max="6" width="21.88671875" bestFit="1" customWidth="1"/>
    <col min="7" max="7" width="9" bestFit="1" customWidth="1"/>
    <col min="8" max="9" width="13.88671875" bestFit="1" customWidth="1"/>
    <col min="10" max="12" width="11.109375" bestFit="1" customWidth="1"/>
  </cols>
  <sheetData>
    <row r="1" spans="1:15" s="65" customFormat="1" ht="42.75" customHeight="1" x14ac:dyDescent="0.2">
      <c r="A1" s="78" t="s">
        <v>381</v>
      </c>
      <c r="B1" s="78"/>
      <c r="C1" s="78" t="s">
        <v>5</v>
      </c>
      <c r="D1" s="78" t="s">
        <v>6</v>
      </c>
      <c r="E1" s="78" t="s">
        <v>436</v>
      </c>
      <c r="F1" s="78" t="s">
        <v>437</v>
      </c>
      <c r="G1" s="78" t="s">
        <v>96</v>
      </c>
      <c r="H1" s="78" t="s">
        <v>7</v>
      </c>
      <c r="I1" s="78" t="s">
        <v>383</v>
      </c>
      <c r="J1" s="78" t="s">
        <v>384</v>
      </c>
      <c r="K1" s="78" t="s">
        <v>438</v>
      </c>
      <c r="L1" s="78" t="s">
        <v>11</v>
      </c>
      <c r="M1" s="78" t="s">
        <v>9</v>
      </c>
      <c r="N1" s="78" t="s">
        <v>12</v>
      </c>
    </row>
    <row r="2" spans="1:15" s="107" customFormat="1" ht="15" x14ac:dyDescent="0.25">
      <c r="A2" s="103" t="s">
        <v>444</v>
      </c>
      <c r="B2" s="103"/>
      <c r="C2" s="104">
        <v>45756</v>
      </c>
      <c r="D2" s="105" t="s">
        <v>445</v>
      </c>
      <c r="E2" s="105" t="s">
        <v>446</v>
      </c>
      <c r="F2" s="105" t="s">
        <v>447</v>
      </c>
      <c r="G2" s="106"/>
      <c r="H2" s="103" t="s">
        <v>448</v>
      </c>
      <c r="I2" s="103">
        <v>7623</v>
      </c>
      <c r="J2" s="103">
        <v>156.69</v>
      </c>
      <c r="K2" s="103">
        <v>0</v>
      </c>
      <c r="L2" s="103">
        <v>3.81</v>
      </c>
      <c r="M2" s="103">
        <v>100</v>
      </c>
      <c r="N2" s="103">
        <f t="shared" ref="N2" si="0">SUM(J2:M2)</f>
        <v>260.5</v>
      </c>
      <c r="O2" s="103"/>
    </row>
    <row r="3" spans="1:15" s="65" customFormat="1" ht="22.8" x14ac:dyDescent="0.2">
      <c r="A3" s="55" t="s">
        <v>449</v>
      </c>
      <c r="B3" s="55"/>
      <c r="C3" s="56">
        <v>45785</v>
      </c>
      <c r="D3" s="55" t="s">
        <v>450</v>
      </c>
      <c r="E3" s="55" t="s">
        <v>451</v>
      </c>
      <c r="F3" s="55" t="s">
        <v>452</v>
      </c>
      <c r="G3" s="57"/>
      <c r="H3" s="55" t="s">
        <v>453</v>
      </c>
      <c r="I3" s="58">
        <v>832540</v>
      </c>
      <c r="J3" s="58">
        <v>5126.75</v>
      </c>
      <c r="K3" s="58">
        <v>533.35</v>
      </c>
      <c r="L3" s="59">
        <v>417</v>
      </c>
      <c r="M3" s="58">
        <v>0</v>
      </c>
      <c r="N3" s="58">
        <f>SUM(J3:M3)</f>
        <v>6077.1</v>
      </c>
      <c r="O3" s="71"/>
    </row>
    <row r="4" spans="1:15" s="65" customFormat="1" ht="22.8" x14ac:dyDescent="0.2">
      <c r="A4" s="55" t="s">
        <v>454</v>
      </c>
      <c r="B4" s="55"/>
      <c r="C4" s="56">
        <v>45797</v>
      </c>
      <c r="D4" s="55" t="s">
        <v>455</v>
      </c>
      <c r="E4" s="55" t="s">
        <v>456</v>
      </c>
      <c r="F4" s="55" t="s">
        <v>457</v>
      </c>
      <c r="G4" s="57"/>
      <c r="H4" s="55" t="s">
        <v>458</v>
      </c>
      <c r="I4" s="58">
        <v>35000</v>
      </c>
      <c r="J4" s="58">
        <v>520.5</v>
      </c>
      <c r="K4" s="58">
        <v>0</v>
      </c>
      <c r="L4" s="59">
        <v>17.5</v>
      </c>
      <c r="M4" s="58">
        <v>100</v>
      </c>
      <c r="N4" s="58">
        <f t="shared" ref="N4" si="1">SUM(J4:M4)</f>
        <v>638</v>
      </c>
      <c r="O4" s="71"/>
    </row>
    <row r="5" spans="1:15" s="96" customFormat="1" ht="14.1" customHeight="1" x14ac:dyDescent="0.25">
      <c r="A5" s="84" t="s">
        <v>459</v>
      </c>
      <c r="B5" s="84"/>
      <c r="C5" s="83">
        <v>45810</v>
      </c>
      <c r="D5" s="110" t="s">
        <v>460</v>
      </c>
      <c r="E5" s="110" t="s">
        <v>461</v>
      </c>
      <c r="F5" s="110" t="s">
        <v>462</v>
      </c>
      <c r="G5" s="85"/>
      <c r="H5" s="110" t="s">
        <v>463</v>
      </c>
      <c r="I5" s="82">
        <v>18000</v>
      </c>
      <c r="J5" s="82">
        <v>309.75</v>
      </c>
      <c r="K5" s="82">
        <v>0</v>
      </c>
      <c r="L5" s="82">
        <v>9</v>
      </c>
      <c r="M5" s="82">
        <v>100</v>
      </c>
      <c r="N5" s="59">
        <f>SUM(J5:M5)</f>
        <v>418.75</v>
      </c>
      <c r="O5" s="82"/>
    </row>
    <row r="6" spans="1:15" s="65" customFormat="1" ht="14.1" customHeight="1" x14ac:dyDescent="0.25">
      <c r="A6" s="84" t="s">
        <v>464</v>
      </c>
      <c r="B6" s="67"/>
      <c r="C6" s="66">
        <v>45813</v>
      </c>
      <c r="D6" s="110" t="s">
        <v>465</v>
      </c>
      <c r="E6" s="110" t="s">
        <v>466</v>
      </c>
      <c r="F6" s="110" t="s">
        <v>447</v>
      </c>
      <c r="G6" s="68"/>
      <c r="H6" s="110" t="s">
        <v>467</v>
      </c>
      <c r="I6" s="59">
        <v>51000</v>
      </c>
      <c r="J6" s="59">
        <v>689.26</v>
      </c>
      <c r="K6" s="59">
        <v>0</v>
      </c>
      <c r="L6" s="59">
        <v>25.5</v>
      </c>
      <c r="M6" s="59">
        <v>200</v>
      </c>
      <c r="N6" s="59">
        <f t="shared" ref="N6:N14" si="2">SUM(J6:M6)</f>
        <v>914.76</v>
      </c>
      <c r="O6" s="59"/>
    </row>
    <row r="7" spans="1:15" s="65" customFormat="1" ht="14.1" customHeight="1" x14ac:dyDescent="0.25">
      <c r="A7" s="84" t="s">
        <v>468</v>
      </c>
      <c r="B7" s="67"/>
      <c r="C7" s="66">
        <v>45813</v>
      </c>
      <c r="D7" s="110" t="s">
        <v>465</v>
      </c>
      <c r="E7" s="110" t="s">
        <v>466</v>
      </c>
      <c r="F7" s="110" t="s">
        <v>447</v>
      </c>
      <c r="G7" s="68"/>
      <c r="H7" s="112" t="s">
        <v>469</v>
      </c>
      <c r="I7" s="59">
        <v>80998</v>
      </c>
      <c r="J7" s="59">
        <v>914.25</v>
      </c>
      <c r="K7" s="59">
        <v>0</v>
      </c>
      <c r="L7" s="59">
        <v>40.5</v>
      </c>
      <c r="M7" s="59">
        <v>0</v>
      </c>
      <c r="N7" s="59">
        <f t="shared" si="2"/>
        <v>954.75</v>
      </c>
      <c r="O7" s="59"/>
    </row>
    <row r="8" spans="1:15" s="65" customFormat="1" ht="14.1" customHeight="1" x14ac:dyDescent="0.25">
      <c r="A8" s="84" t="s">
        <v>470</v>
      </c>
      <c r="B8" s="67"/>
      <c r="C8" s="66">
        <v>45813</v>
      </c>
      <c r="D8" s="110" t="s">
        <v>465</v>
      </c>
      <c r="E8" s="110" t="s">
        <v>466</v>
      </c>
      <c r="F8" s="110" t="s">
        <v>447</v>
      </c>
      <c r="G8" s="68"/>
      <c r="H8" s="110" t="s">
        <v>471</v>
      </c>
      <c r="I8" s="59">
        <v>125301</v>
      </c>
      <c r="J8" s="59">
        <v>1212.75</v>
      </c>
      <c r="K8" s="59">
        <v>0</v>
      </c>
      <c r="L8" s="59">
        <v>63</v>
      </c>
      <c r="M8" s="59">
        <v>0</v>
      </c>
      <c r="N8" s="59">
        <f t="shared" si="2"/>
        <v>1275.75</v>
      </c>
      <c r="O8" s="59"/>
    </row>
    <row r="9" spans="1:15" s="65" customFormat="1" ht="11.4" x14ac:dyDescent="0.2">
      <c r="A9" s="59" t="s">
        <v>472</v>
      </c>
      <c r="B9" s="59"/>
      <c r="C9" s="66">
        <v>45855</v>
      </c>
      <c r="D9" s="134" t="s">
        <v>114</v>
      </c>
      <c r="E9" s="134" t="s">
        <v>473</v>
      </c>
      <c r="F9" s="134" t="s">
        <v>447</v>
      </c>
      <c r="G9" s="68"/>
      <c r="H9" s="67" t="s">
        <v>474</v>
      </c>
      <c r="I9" s="69">
        <v>37500</v>
      </c>
      <c r="J9" s="69">
        <v>547.88</v>
      </c>
      <c r="K9" s="69">
        <v>0</v>
      </c>
      <c r="L9" s="69">
        <v>18.75</v>
      </c>
      <c r="M9" s="69">
        <v>100</v>
      </c>
      <c r="N9" s="69">
        <f t="shared" si="2"/>
        <v>666.63</v>
      </c>
      <c r="O9" s="69"/>
    </row>
    <row r="10" spans="1:15" s="65" customFormat="1" ht="22.8" x14ac:dyDescent="0.2">
      <c r="A10" s="59" t="s">
        <v>475</v>
      </c>
      <c r="B10" s="59"/>
      <c r="C10" s="66">
        <v>45855</v>
      </c>
      <c r="D10" s="134" t="s">
        <v>476</v>
      </c>
      <c r="E10" s="134" t="s">
        <v>477</v>
      </c>
      <c r="F10" s="134" t="s">
        <v>447</v>
      </c>
      <c r="G10" s="68"/>
      <c r="H10" s="67" t="s">
        <v>478</v>
      </c>
      <c r="I10" s="69">
        <v>6000</v>
      </c>
      <c r="J10" s="69">
        <v>132.75</v>
      </c>
      <c r="K10" s="69">
        <v>0</v>
      </c>
      <c r="L10" s="69">
        <v>3</v>
      </c>
      <c r="M10" s="69">
        <v>100</v>
      </c>
      <c r="N10" s="69">
        <f t="shared" si="2"/>
        <v>235.75</v>
      </c>
      <c r="O10" s="69"/>
    </row>
    <row r="11" spans="1:15" s="65" customFormat="1" ht="22.8" x14ac:dyDescent="0.2">
      <c r="A11" s="59" t="s">
        <v>479</v>
      </c>
      <c r="B11" s="59"/>
      <c r="C11" s="66">
        <v>45855</v>
      </c>
      <c r="D11" s="134" t="s">
        <v>480</v>
      </c>
      <c r="E11" s="134" t="s">
        <v>481</v>
      </c>
      <c r="F11" s="134" t="s">
        <v>482</v>
      </c>
      <c r="G11" s="68"/>
      <c r="H11" s="67" t="s">
        <v>418</v>
      </c>
      <c r="I11" s="69">
        <v>6000</v>
      </c>
      <c r="J11" s="69">
        <v>132.75</v>
      </c>
      <c r="K11" s="69">
        <v>0</v>
      </c>
      <c r="L11" s="69">
        <v>3</v>
      </c>
      <c r="M11" s="69">
        <v>100</v>
      </c>
      <c r="N11" s="69">
        <f t="shared" si="2"/>
        <v>235.75</v>
      </c>
      <c r="O11" s="69"/>
    </row>
    <row r="12" spans="1:15" s="96" customFormat="1" ht="26.4" x14ac:dyDescent="0.25">
      <c r="A12" s="82" t="s">
        <v>483</v>
      </c>
      <c r="B12" s="82"/>
      <c r="C12" s="83">
        <v>45876</v>
      </c>
      <c r="D12" s="135" t="s">
        <v>17</v>
      </c>
      <c r="E12" s="135" t="s">
        <v>484</v>
      </c>
      <c r="F12" s="135" t="s">
        <v>485</v>
      </c>
      <c r="G12" s="82"/>
      <c r="H12" s="135" t="s">
        <v>486</v>
      </c>
      <c r="I12" s="82">
        <v>10100</v>
      </c>
      <c r="J12" s="82">
        <v>193.23</v>
      </c>
      <c r="K12" s="82">
        <v>0</v>
      </c>
      <c r="L12" s="82">
        <v>5.05</v>
      </c>
      <c r="M12" s="82">
        <v>100</v>
      </c>
      <c r="N12" s="82">
        <f t="shared" si="2"/>
        <v>298.27999999999997</v>
      </c>
      <c r="O12" s="82"/>
    </row>
    <row r="13" spans="1:15" s="65" customFormat="1" ht="12.75" customHeight="1" x14ac:dyDescent="0.25">
      <c r="A13" s="59" t="s">
        <v>487</v>
      </c>
      <c r="B13" s="59"/>
      <c r="C13" s="66">
        <v>45883</v>
      </c>
      <c r="D13" s="136" t="s">
        <v>488</v>
      </c>
      <c r="E13" s="136" t="s">
        <v>489</v>
      </c>
      <c r="F13" s="136" t="s">
        <v>490</v>
      </c>
      <c r="G13" s="68"/>
      <c r="H13" s="137" t="s">
        <v>491</v>
      </c>
      <c r="I13" s="59">
        <v>11700</v>
      </c>
      <c r="J13" s="59">
        <v>216.83</v>
      </c>
      <c r="K13" s="59">
        <v>0</v>
      </c>
      <c r="L13" s="59">
        <v>5.85</v>
      </c>
      <c r="M13" s="59">
        <v>100</v>
      </c>
      <c r="N13" s="82">
        <f t="shared" si="2"/>
        <v>322.68</v>
      </c>
      <c r="O13" s="59"/>
    </row>
    <row r="14" spans="1:15" s="65" customFormat="1" ht="15" customHeight="1" x14ac:dyDescent="0.25">
      <c r="A14" s="138" t="s">
        <v>492</v>
      </c>
      <c r="B14" s="138"/>
      <c r="C14" s="139">
        <v>45887</v>
      </c>
      <c r="D14" s="140" t="s">
        <v>493</v>
      </c>
      <c r="E14" s="140" t="s">
        <v>494</v>
      </c>
      <c r="F14" s="140" t="s">
        <v>495</v>
      </c>
      <c r="G14" s="141"/>
      <c r="H14" s="142" t="s">
        <v>496</v>
      </c>
      <c r="I14" s="138">
        <v>11000</v>
      </c>
      <c r="J14" s="138">
        <v>206.5</v>
      </c>
      <c r="K14" s="138">
        <v>0</v>
      </c>
      <c r="L14" s="138">
        <v>5.5</v>
      </c>
      <c r="M14" s="138">
        <v>100</v>
      </c>
      <c r="N14" s="118">
        <f t="shared" si="2"/>
        <v>312</v>
      </c>
      <c r="O14" s="138"/>
    </row>
    <row r="15" spans="1:15" s="117" customFormat="1" ht="11.25" customHeight="1" x14ac:dyDescent="0.2">
      <c r="A15" s="122" t="s">
        <v>497</v>
      </c>
      <c r="B15" s="122"/>
      <c r="C15" s="123">
        <v>45909</v>
      </c>
      <c r="D15" s="122" t="s">
        <v>498</v>
      </c>
      <c r="E15" s="122" t="s">
        <v>499</v>
      </c>
      <c r="F15" s="122" t="s">
        <v>447</v>
      </c>
      <c r="G15" s="124"/>
      <c r="H15" s="143" t="s">
        <v>500</v>
      </c>
      <c r="I15" s="122">
        <v>7650</v>
      </c>
      <c r="J15" s="122">
        <v>157.09</v>
      </c>
      <c r="K15" s="122">
        <v>0</v>
      </c>
      <c r="L15" s="122">
        <v>3.83</v>
      </c>
      <c r="M15" s="122">
        <v>38.25</v>
      </c>
      <c r="N15" s="122">
        <f t="shared" ref="N15" si="3">SUM(J15:M15)</f>
        <v>199.17000000000002</v>
      </c>
      <c r="O15" s="115"/>
    </row>
    <row r="16" spans="1:15" s="65" customFormat="1" ht="35.4" customHeight="1" x14ac:dyDescent="0.2">
      <c r="A16" s="126" t="s">
        <v>501</v>
      </c>
      <c r="B16" s="126"/>
      <c r="C16" s="127">
        <v>45967</v>
      </c>
      <c r="D16" s="122" t="s">
        <v>488</v>
      </c>
      <c r="E16" s="122" t="s">
        <v>502</v>
      </c>
      <c r="F16" s="125" t="s">
        <v>503</v>
      </c>
      <c r="G16" s="144"/>
      <c r="H16" s="145" t="s">
        <v>504</v>
      </c>
      <c r="I16" s="126">
        <v>31927</v>
      </c>
      <c r="J16" s="126">
        <v>487.47</v>
      </c>
      <c r="K16" s="126">
        <v>0</v>
      </c>
      <c r="L16" s="126">
        <v>15.96</v>
      </c>
      <c r="M16" s="126">
        <v>100</v>
      </c>
      <c r="N16" s="126">
        <v>603.42999999999995</v>
      </c>
      <c r="O16" s="126"/>
    </row>
    <row r="17" spans="1:15" s="65" customFormat="1" ht="13.2" x14ac:dyDescent="0.25">
      <c r="A17" s="126" t="s">
        <v>505</v>
      </c>
      <c r="B17" s="126"/>
      <c r="C17" s="127">
        <v>45973</v>
      </c>
      <c r="D17" s="126" t="s">
        <v>506</v>
      </c>
      <c r="E17" s="126" t="s">
        <v>507</v>
      </c>
      <c r="F17" s="143" t="s">
        <v>508</v>
      </c>
      <c r="G17" s="128"/>
      <c r="H17" s="122" t="s">
        <v>509</v>
      </c>
      <c r="I17" s="126">
        <v>13000</v>
      </c>
      <c r="J17" s="126">
        <v>236</v>
      </c>
      <c r="K17" s="126">
        <v>0</v>
      </c>
      <c r="L17" s="126">
        <v>6.5</v>
      </c>
      <c r="M17" s="126">
        <v>65</v>
      </c>
      <c r="N17" s="126">
        <v>307.5</v>
      </c>
      <c r="O17" s="126"/>
    </row>
    <row r="18" spans="1:15" s="65" customFormat="1" ht="15.6" customHeight="1" x14ac:dyDescent="0.2">
      <c r="A18" s="126" t="s">
        <v>439</v>
      </c>
      <c r="B18" s="126"/>
      <c r="C18" s="127">
        <v>45994</v>
      </c>
      <c r="D18" s="126" t="s">
        <v>440</v>
      </c>
      <c r="E18" s="126" t="s">
        <v>441</v>
      </c>
      <c r="F18" s="126" t="s">
        <v>442</v>
      </c>
      <c r="G18" s="144"/>
      <c r="H18" s="126" t="s">
        <v>443</v>
      </c>
      <c r="I18" s="126">
        <v>7264</v>
      </c>
      <c r="J18" s="126">
        <v>151.38999999999999</v>
      </c>
      <c r="K18" s="126">
        <v>0</v>
      </c>
      <c r="L18" s="126">
        <v>3.63</v>
      </c>
      <c r="M18" s="126">
        <v>108.96</v>
      </c>
      <c r="N18" s="126">
        <v>263.98</v>
      </c>
      <c r="O18" s="126"/>
    </row>
    <row r="19" spans="1:15" x14ac:dyDescent="0.3">
      <c r="A19" s="130"/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</row>
    <row r="20" spans="1:15" x14ac:dyDescent="0.3">
      <c r="A20" s="130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</row>
    <row r="21" spans="1:15" x14ac:dyDescent="0.3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DF1E-8537-46F8-B31E-8E679DABBD20}">
  <dimension ref="A1:N6"/>
  <sheetViews>
    <sheetView tabSelected="1" workbookViewId="0">
      <selection activeCell="N6" sqref="N6"/>
    </sheetView>
  </sheetViews>
  <sheetFormatPr defaultRowHeight="14.4" x14ac:dyDescent="0.3"/>
  <cols>
    <col min="3" max="3" width="9.33203125" bestFit="1" customWidth="1"/>
    <col min="4" max="4" width="20.77734375" bestFit="1" customWidth="1"/>
    <col min="5" max="5" width="17" bestFit="1" customWidth="1"/>
    <col min="6" max="6" width="53.6640625" bestFit="1" customWidth="1"/>
    <col min="8" max="8" width="9.21875" bestFit="1" customWidth="1"/>
    <col min="9" max="9" width="13.88671875" bestFit="1" customWidth="1"/>
    <col min="10" max="10" width="10.44140625" bestFit="1" customWidth="1"/>
    <col min="11" max="12" width="11.109375" bestFit="1" customWidth="1"/>
  </cols>
  <sheetData>
    <row r="1" spans="1:14" ht="24" x14ac:dyDescent="0.3">
      <c r="A1" s="78" t="s">
        <v>381</v>
      </c>
      <c r="B1" s="97"/>
      <c r="C1" s="78" t="s">
        <v>5</v>
      </c>
      <c r="D1" s="78" t="s">
        <v>6</v>
      </c>
      <c r="E1" s="78" t="s">
        <v>436</v>
      </c>
      <c r="F1" s="81" t="s">
        <v>437</v>
      </c>
      <c r="G1" s="78" t="s">
        <v>96</v>
      </c>
      <c r="H1" s="78" t="s">
        <v>7</v>
      </c>
      <c r="I1" s="78" t="s">
        <v>383</v>
      </c>
      <c r="J1" s="78" t="s">
        <v>384</v>
      </c>
      <c r="K1" s="78" t="s">
        <v>438</v>
      </c>
      <c r="L1" s="78" t="s">
        <v>11</v>
      </c>
      <c r="M1" s="78" t="s">
        <v>9</v>
      </c>
      <c r="N1" s="78" t="s">
        <v>12</v>
      </c>
    </row>
    <row r="2" spans="1:14" x14ac:dyDescent="0.3">
      <c r="A2" t="s">
        <v>510</v>
      </c>
      <c r="C2" s="146">
        <v>46064</v>
      </c>
      <c r="D2" t="s">
        <v>511</v>
      </c>
      <c r="E2" t="s">
        <v>512</v>
      </c>
      <c r="F2" t="s">
        <v>513</v>
      </c>
      <c r="H2" t="s">
        <v>514</v>
      </c>
      <c r="I2">
        <v>290000</v>
      </c>
      <c r="J2">
        <v>296.75</v>
      </c>
      <c r="K2">
        <v>1427.89</v>
      </c>
      <c r="L2">
        <v>145</v>
      </c>
      <c r="M2">
        <v>100</v>
      </c>
      <c r="N2" t="s">
        <v>515</v>
      </c>
    </row>
    <row r="3" spans="1:14" x14ac:dyDescent="0.3">
      <c r="A3" t="s">
        <v>516</v>
      </c>
      <c r="C3" s="146">
        <v>46105</v>
      </c>
      <c r="D3" t="s">
        <v>517</v>
      </c>
      <c r="E3" t="s">
        <v>518</v>
      </c>
      <c r="F3" t="s">
        <v>519</v>
      </c>
      <c r="H3" t="s">
        <v>520</v>
      </c>
      <c r="I3">
        <v>20000</v>
      </c>
      <c r="J3">
        <v>339.25</v>
      </c>
      <c r="L3">
        <v>10</v>
      </c>
      <c r="M3">
        <v>100</v>
      </c>
      <c r="N3">
        <v>449.25</v>
      </c>
    </row>
    <row r="4" spans="1:14" x14ac:dyDescent="0.3">
      <c r="A4" t="s">
        <v>521</v>
      </c>
      <c r="C4" s="146">
        <v>46111</v>
      </c>
      <c r="D4" t="s">
        <v>522</v>
      </c>
      <c r="E4" t="s">
        <v>523</v>
      </c>
      <c r="F4" t="s">
        <v>524</v>
      </c>
      <c r="H4" t="s">
        <v>525</v>
      </c>
      <c r="I4">
        <v>13300</v>
      </c>
      <c r="J4">
        <v>250.75</v>
      </c>
      <c r="L4">
        <v>6.65</v>
      </c>
      <c r="M4">
        <v>100</v>
      </c>
      <c r="N4">
        <v>357.4</v>
      </c>
    </row>
    <row r="5" spans="1:14" x14ac:dyDescent="0.3">
      <c r="A5" t="s">
        <v>526</v>
      </c>
      <c r="C5" s="146">
        <v>46141</v>
      </c>
      <c r="D5" t="s">
        <v>527</v>
      </c>
      <c r="E5" t="s">
        <v>528</v>
      </c>
      <c r="F5" t="s">
        <v>529</v>
      </c>
      <c r="H5" t="s">
        <v>530</v>
      </c>
      <c r="I5">
        <v>10000</v>
      </c>
      <c r="J5">
        <v>224.5</v>
      </c>
      <c r="L5">
        <v>5</v>
      </c>
      <c r="M5">
        <v>50</v>
      </c>
      <c r="N5">
        <v>279.5</v>
      </c>
    </row>
    <row r="6" spans="1:14" x14ac:dyDescent="0.3">
      <c r="A6" t="s">
        <v>531</v>
      </c>
      <c r="C6" s="146">
        <v>46149</v>
      </c>
      <c r="D6" t="s">
        <v>532</v>
      </c>
      <c r="E6" t="s">
        <v>533</v>
      </c>
      <c r="F6" t="s">
        <v>250</v>
      </c>
      <c r="H6" t="s">
        <v>534</v>
      </c>
      <c r="I6" s="147">
        <v>5000</v>
      </c>
      <c r="J6">
        <v>142</v>
      </c>
      <c r="K6">
        <v>0</v>
      </c>
      <c r="L6">
        <v>2.5</v>
      </c>
      <c r="M6">
        <v>25</v>
      </c>
      <c r="N6">
        <v>169.5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Planning Contractor</dc:creator>
  <cp:lastModifiedBy>Planning Contractor</cp:lastModifiedBy>
  <dcterms:created xsi:type="dcterms:W3CDTF">2026-05-13T19:20:37Z</dcterms:created>
  <dcterms:modified xsi:type="dcterms:W3CDTF">2026-05-14T14:29:32Z</dcterms:modified>
</cp:coreProperties>
</file>